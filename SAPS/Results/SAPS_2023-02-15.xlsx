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mc:AlternateContent xmlns:mc="http://schemas.openxmlformats.org/markup-compatibility/2006">
    <mc:Choice Requires="x15">
      <x15ac:absPath xmlns:x15ac="http://schemas.microsoft.com/office/spreadsheetml/2010/11/ac" url="/Users/olivierpercie/Desktop/MplusLGM/SAPS/Results/"/>
    </mc:Choice>
  </mc:AlternateContent>
  <xr:revisionPtr revIDLastSave="0" documentId="13_ncr:1_{075BCFBE-7C2B-E64A-AFC5-5E92D1ED2EE0}" xr6:coauthVersionLast="47" xr6:coauthVersionMax="47" xr10:uidLastSave="{00000000-0000-0000-0000-000000000000}"/>
  <bookViews>
    <workbookView xWindow="0" yWindow="500" windowWidth="28800" windowHeight="16060" activeTab="3" xr2:uid="{00000000-000D-0000-FFFF-FFFF00000000}"/>
  </bookViews>
  <sheets>
    <sheet name="R3STEP" sheetId="1" r:id="rId1"/>
    <sheet name="TVCREG" sheetId="2" r:id="rId2"/>
    <sheet name="MixREG" sheetId="3" r:id="rId3"/>
    <sheet name="D3STEP" sheetId="4" r:id="rId4"/>
  </sheets>
  <definedNames>
    <definedName name="_xlnm._FilterDatabase" localSheetId="3" hidden="1">D3STEP!$A$1:$Q$41</definedName>
    <definedName name="_xlnm._FilterDatabase" localSheetId="2" hidden="1">MixREG!$G$1:$G$200</definedName>
    <definedName name="_xlnm._FilterDatabase" localSheetId="0" hidden="1">'R3STEP'!$F$1:$F$52</definedName>
    <definedName name="_xlnm._FilterDatabase" localSheetId="1" hidden="1">TVCREG!$G$1:$G$104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4" l="1"/>
  <c r="N1" i="3"/>
  <c r="N1" i="2"/>
  <c r="M1" i="1"/>
</calcChain>
</file>

<file path=xl/sharedStrings.xml><?xml version="1.0" encoding="utf-8"?>
<sst xmlns="http://schemas.openxmlformats.org/spreadsheetml/2006/main" count="1469" uniqueCount="166">
  <si>
    <t>paramHeader</t>
  </si>
  <si>
    <t>param</t>
  </si>
  <si>
    <t>est</t>
  </si>
  <si>
    <t>se</t>
  </si>
  <si>
    <t>pval</t>
  </si>
  <si>
    <t>low2.5</t>
  </si>
  <si>
    <t>up2.5</t>
  </si>
  <si>
    <t>warnings</t>
  </si>
  <si>
    <t>errors</t>
  </si>
  <si>
    <t>sig</t>
  </si>
  <si>
    <t>C#1.ON</t>
  </si>
  <si>
    <t>AGEENTRY</t>
  </si>
  <si>
    <t>NA</t>
  </si>
  <si>
    <t>***</t>
  </si>
  <si>
    <t>AGEONSET</t>
  </si>
  <si>
    <t>CDS_0</t>
  </si>
  <si>
    <t>DUPONSET</t>
  </si>
  <si>
    <t>DX_SPECT1</t>
  </si>
  <si>
    <t>**</t>
  </si>
  <si>
    <t>EDUC_NUM</t>
  </si>
  <si>
    <t>FIQ</t>
  </si>
  <si>
    <t>GENDER1</t>
  </si>
  <si>
    <t>HAS_0</t>
  </si>
  <si>
    <t>HOLLTOTP</t>
  </si>
  <si>
    <t>HOUSING1</t>
  </si>
  <si>
    <t>HOUSING2</t>
  </si>
  <si>
    <t>HOUSING3</t>
  </si>
  <si>
    <t>MARITAL21</t>
  </si>
  <si>
    <t>MARITAL22</t>
  </si>
  <si>
    <t>MINORITY1</t>
  </si>
  <si>
    <t>PAS_TOT2</t>
  </si>
  <si>
    <t>SANS_0</t>
  </si>
  <si>
    <t>SAPS_0</t>
  </si>
  <si>
    <t>SOFAS_0</t>
  </si>
  <si>
    <t>SUD1</t>
  </si>
  <si>
    <t>WORK1</t>
  </si>
  <si>
    <t>*</t>
  </si>
  <si>
    <t>WORK2</t>
  </si>
  <si>
    <t>YMRS_0</t>
  </si>
  <si>
    <t>Intercepts ageentry</t>
  </si>
  <si>
    <t>C#1</t>
  </si>
  <si>
    <t>Intercepts ageonset</t>
  </si>
  <si>
    <t>Intercepts CDS_0</t>
  </si>
  <si>
    <t>Intercepts duponset</t>
  </si>
  <si>
    <t>Intercepts dx_spect</t>
  </si>
  <si>
    <t>Intercepts educ_num</t>
  </si>
  <si>
    <t>Intercepts FIQ</t>
  </si>
  <si>
    <t>Intercepts gender</t>
  </si>
  <si>
    <t>Intercepts HAS_0</t>
  </si>
  <si>
    <t>Intercepts holltotp</t>
  </si>
  <si>
    <t>Intercepts housing</t>
  </si>
  <si>
    <t>Intercepts marital2</t>
  </si>
  <si>
    <t>Intercepts minority</t>
  </si>
  <si>
    <t>Intercepts PAS_tot2</t>
  </si>
  <si>
    <t>Intercepts SANS_0</t>
  </si>
  <si>
    <t>Intercepts SAPS_0</t>
  </si>
  <si>
    <t>Intercepts SOFAS_0</t>
  </si>
  <si>
    <t>Intercepts SUD</t>
  </si>
  <si>
    <t>Intercepts work</t>
  </si>
  <si>
    <t>Intercepts YMRS_0</t>
  </si>
  <si>
    <t>DX_SPECT</t>
  </si>
  <si>
    <t>cNote that only the first 8 characters of variable names are used in the output Shorten variable names to avoid any confusion 1 WARNINGS FOUND IN THE INPUT INSTRUCTIONS</t>
  </si>
  <si>
    <t>GENDER</t>
  </si>
  <si>
    <t>HOUSING</t>
  </si>
  <si>
    <t>MARITAL2</t>
  </si>
  <si>
    <t>MINORITY</t>
  </si>
  <si>
    <t>SUD</t>
  </si>
  <si>
    <t>WORK</t>
  </si>
  <si>
    <t>LatentClass</t>
  </si>
  <si>
    <t>CDS</t>
  </si>
  <si>
    <t>cWARNING  THE BEST LOGLIKELIHOOD VALUE WAS NOT REPLICATED  THE SOLUTION MAY NOT BE TRUSTWORTHY DUE TO LOCAL MAXIMA  INCREASE THE NUMBER OF RANDOM STARTS</t>
  </si>
  <si>
    <t>SAPS_0.ON</t>
  </si>
  <si>
    <t>1</t>
  </si>
  <si>
    <t>2</t>
  </si>
  <si>
    <t>SAPS_1.ON</t>
  </si>
  <si>
    <t>CDS_1</t>
  </si>
  <si>
    <t>SAPS_12.ON</t>
  </si>
  <si>
    <t>CDS_12</t>
  </si>
  <si>
    <t>SAPS_18.ON</t>
  </si>
  <si>
    <t>CDS_18</t>
  </si>
  <si>
    <t>SAPS_2.ON</t>
  </si>
  <si>
    <t>CDS_2</t>
  </si>
  <si>
    <t>SAPS_24.ON</t>
  </si>
  <si>
    <t>CDS_24</t>
  </si>
  <si>
    <t>SAPS_3.ON</t>
  </si>
  <si>
    <t>CDS_3</t>
  </si>
  <si>
    <t>SAPS_6.ON</t>
  </si>
  <si>
    <t>CDS_6</t>
  </si>
  <si>
    <t>SAPS_9.ON</t>
  </si>
  <si>
    <t>CDS_9</t>
  </si>
  <si>
    <t>HAS</t>
  </si>
  <si>
    <t>HAS_1</t>
  </si>
  <si>
    <t>HAS_12</t>
  </si>
  <si>
    <t>HAS_18</t>
  </si>
  <si>
    <t>HAS_2</t>
  </si>
  <si>
    <t>HAS_24</t>
  </si>
  <si>
    <t>HAS_3</t>
  </si>
  <si>
    <t>HAS_6</t>
  </si>
  <si>
    <t>HAS_9</t>
  </si>
  <si>
    <t>NSR</t>
  </si>
  <si>
    <t>cTHE MODEL ESTIMATION DID NOT TERMINATE NORMALLY  ESTIMATES CANNOT BE TRUSTED cTHE MODEL ESTIMATION DID NOT TERMINATE NORMALLY DUE TO AN ERROR IN THE COMPUTATION  CHANGE YOUR MODEL ANDOR STARTING VALUES</t>
  </si>
  <si>
    <t>PSR</t>
  </si>
  <si>
    <t xml:space="preserve">cTHE STANDARD ERRORS OF THE MODEL PARAMETER ESTIMATES MAY NOT BE TRUSTWORTHY FOR SOME PARAMETERS DUE TO A NONPOSITIVE DEFINITE FIRSTORDER DERIVATIVE PRODUCT MATRIX  THIS MAY BE DUE TO THE STARTING VALUES BUT MAY ALSO BE AN INDICATION OF MODEL NONIDENTIFICATION  THE CONDITION NUMBER IS       0100D21  PROBLEM INVOLVING THE FOLLOWING PARAMETER Parameter 152 C2 PSR181 cTHIS IS MOST LIKELY DUE TO A BINARY OUTCOME PSR181 BEING TREATED AS CONTINUOUS  IF THIS IS THE CASE THE STANDARD ERRORS MAY STILL BE USED cONE OR MORE PARAMETERS WERE FIXED TO AVOID SINGULARITY OF THE INFORMATION MATRIX THE SINGULARITY IS MOST LIKELY BECAUSE THE MODEL IS NOT IDENTIFIED OR BECAUSE OF EMPTY CELLS IN THE JOINT DISTRIBUTION OF THE CATEGORICAL VARIABLES IN THE MODEL THE FOLLOWING PARAMETERS WERE FIXED Parameter 1 C1  SAPS0  Parameter 2 C1  SAPS1  Parameter 3 C1  SAPS2  Parameter 4 C1  SAPS3  Parameter 5 C1  SAPS6  Parameter 6 C1  SAPS9  
Parameter 7 C1  SAPS12  Parameter 8 C1  SAPS18  Parameter 9 C1  SAPS24  Parameter 10 C1  PSR01  Parameter 11 C1  PSR11  Parameter 12 C1  PSR21  Parameter 13 C1  PSR31  Parameter 14 C1  PSR61  Parameter 15 C1  PSR91  Parameter 16 C1  PSR121  Parameter 17 C1  PSR181  Parameter 18 C1  PSR241  Parameter 19 C1 SAPS0 ON PSR01 Parameter 20 C1 SAPS1 ON PSR11 
Parameter 21 C1 SAPS2 ON PSR21 Parameter 22 C1 SAPS3 ON PSR31 Parameter 23 C1 SAPS6 ON PSR61 Parameter 24 C1 SAPS9 ON PSR91 Parameter 25 C1 SAPS12 ON PSR121 Parameter 26 C1 SAPS18 ON PSR181 Parameter 27 C1 SAPS24 ON PSR241 Parameter 73 C1 PSR01 Parameter 75 C1 PSR11 Parameter 78 C1 PSR21 Parameter 82 C1 PSR31 Parameter 87 C1 PSR61 Parameter 93 C1 PSR91 Parameter 100 C1 PSR121 
Parameter 108 C1 PSR181 Parameter 117 C1 PSR241 Parameter 154  C1 </t>
  </si>
  <si>
    <t>PSR_01</t>
  </si>
  <si>
    <t>PSR_11</t>
  </si>
  <si>
    <t>PSR_121</t>
  </si>
  <si>
    <t>PSR_181</t>
  </si>
  <si>
    <t>PSR_21</t>
  </si>
  <si>
    <t>PSR_241</t>
  </si>
  <si>
    <t>PSR_31</t>
  </si>
  <si>
    <t>PSR_61</t>
  </si>
  <si>
    <t>PSR_91</t>
  </si>
  <si>
    <t>SANS</t>
  </si>
  <si>
    <t>SANS_1</t>
  </si>
  <si>
    <t>SANS_12</t>
  </si>
  <si>
    <t>SANS_18</t>
  </si>
  <si>
    <t>SANS_2</t>
  </si>
  <si>
    <t>SANS_24</t>
  </si>
  <si>
    <t>SANS_3</t>
  </si>
  <si>
    <t>SANS_6</t>
  </si>
  <si>
    <t>SANS_9</t>
  </si>
  <si>
    <t>SOFAS</t>
  </si>
  <si>
    <t>SOFAS_12</t>
  </si>
  <si>
    <t>SOFAS_24</t>
  </si>
  <si>
    <t>YMRS</t>
  </si>
  <si>
    <t>YMRS_1</t>
  </si>
  <si>
    <t>YMRS_12</t>
  </si>
  <si>
    <t>YMRS_18</t>
  </si>
  <si>
    <t>YMRS_2</t>
  </si>
  <si>
    <t>YMRS_24</t>
  </si>
  <si>
    <t>YMRS_3</t>
  </si>
  <si>
    <t>YMRS_6</t>
  </si>
  <si>
    <t>YMRS_9</t>
  </si>
  <si>
    <t>I.ON</t>
  </si>
  <si>
    <t>S.ON</t>
  </si>
  <si>
    <t>NSR_01</t>
  </si>
  <si>
    <t>NSR_11</t>
  </si>
  <si>
    <t>NSR_121</t>
  </si>
  <si>
    <t>NSR_181</t>
  </si>
  <si>
    <t>NSR_21</t>
  </si>
  <si>
    <t>NSR_241</t>
  </si>
  <si>
    <t>NSR_31</t>
  </si>
  <si>
    <t>NSR_61</t>
  </si>
  <si>
    <t>NSR_91</t>
  </si>
  <si>
    <t>cTHE STANDARD ERRORS OF THE MODEL PARAMETER ESTIMATES MAY NOT BE TRUSTWORTHY FOR SOME PARAMETERS DUE TO A NONPOSITIVE DEFINITE FIRSTORDER DERIVATIVE PRODUCT MATRIX  THIS MAY BE DUE TO THE STARTING VALUES BUT MAY ALSO BE AN INDICATION OF MODEL NONIDENTIFICATION  THE CONDITION NUMBER IS       0324D16  PROBLEM INVOLVING THE FOLLOWING PARAMETER Parameter 89 C2 I ON PSR01</t>
  </si>
  <si>
    <t>cTHE LOGLIKELIHOOD DECREASED IN THE LAST EM ITERATION  CHANGE YOUR MODEL ANDOR STARTING VALUES cTHE MODEL ESTIMATION DID NOT TERMINATE NORMALLY DUE TO AN ERROR IN THE COMPUTATION  CHANGE YOUR MODEL ANDOR STARTING VALUES</t>
  </si>
  <si>
    <t>WaldChiSq_Value</t>
  </si>
  <si>
    <t>WaldChiSq_DF</t>
  </si>
  <si>
    <t>WaldChiSq_PValue</t>
  </si>
  <si>
    <t>NSR_24</t>
  </si>
  <si>
    <t>Category1</t>
  </si>
  <si>
    <t>cAll variables are uncorrelated with all other variables within class Check that this is what is intended cSAMPSTAT option is not available when all outcomes are censored ordered categorical unordered categorical nominal count or continuoustime survival variables  Request for SAMPSTAT is ignored 2 WARNINGS FOUND IN THE INPUT INSTRUCTIONS</t>
  </si>
  <si>
    <t>Category2</t>
  </si>
  <si>
    <t>NSR_24C</t>
  </si>
  <si>
    <t>Means</t>
  </si>
  <si>
    <t>cAll variables are uncorrelated with all other variables within class Check that this is what is intended 1 WARNINGS FOUND IN THE INPUT INSTRUCTIONS</t>
  </si>
  <si>
    <t>Variances</t>
  </si>
  <si>
    <t>NSR_AT3</t>
  </si>
  <si>
    <t>NSR_BY3</t>
  </si>
  <si>
    <t>PSR_24</t>
  </si>
  <si>
    <t>PSR_24C</t>
  </si>
  <si>
    <t>PSR_AT3</t>
  </si>
  <si>
    <t>PSR_BY3</t>
  </si>
  <si>
    <t>tval</t>
  </si>
  <si>
    <t>corrected alpha</t>
  </si>
  <si>
    <t>Wald - corrected alpha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</si>
</sst>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00000"/>
    <numFmt numFmtId="168" formatCode="0.000"/>
  </numFmts>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0" fillId="0" borderId="0" xfId="0" applyNumberFormat="1"/>
    <xf numFmtId="168"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52"/>
  <sheetViews>
    <sheetView workbookViewId="0">
      <selection activeCell="L1" sqref="L1:M1"/>
    </sheetView>
  </sheetViews>
  <sheetFormatPr baseColWidth="10" defaultRowHeight="15" x14ac:dyDescent="0.2"/>
  <cols>
    <col min="12" max="12" width="12.5" customWidth="1"/>
  </cols>
  <sheetData>
    <row r="1" spans="1:13" x14ac:dyDescent="0.2">
      <c r="A1" t="s">
        <v>0</v>
      </c>
      <c r="B1" t="s">
        <v>1</v>
      </c>
      <c r="C1" t="s">
        <v>2</v>
      </c>
      <c r="D1" t="s">
        <v>3</v>
      </c>
      <c r="E1" t="s">
        <v>163</v>
      </c>
      <c r="F1" t="s">
        <v>4</v>
      </c>
      <c r="G1" t="s">
        <v>5</v>
      </c>
      <c r="H1" t="s">
        <v>6</v>
      </c>
      <c r="I1" t="s">
        <v>7</v>
      </c>
      <c r="J1" t="s">
        <v>8</v>
      </c>
      <c r="K1" t="s">
        <v>9</v>
      </c>
      <c r="L1" t="s">
        <v>164</v>
      </c>
      <c r="M1" s="2">
        <f>0.05/24</f>
        <v>2.0833333333333333E-3</v>
      </c>
    </row>
    <row r="2" spans="1:13" x14ac:dyDescent="0.2">
      <c r="A2" t="s">
        <v>10</v>
      </c>
      <c r="B2" t="s">
        <v>11</v>
      </c>
      <c r="C2">
        <v>0.11799999999999999</v>
      </c>
      <c r="D2">
        <v>2.5999999999999999E-2</v>
      </c>
      <c r="E2">
        <v>4.5620000000000003</v>
      </c>
      <c r="F2">
        <v>0</v>
      </c>
      <c r="G2">
        <v>6.7000000000000004E-2</v>
      </c>
      <c r="H2">
        <v>0.16900000000000001</v>
      </c>
      <c r="I2" t="s">
        <v>12</v>
      </c>
      <c r="J2" t="s">
        <v>12</v>
      </c>
      <c r="K2" t="s">
        <v>13</v>
      </c>
    </row>
    <row r="3" spans="1:13" x14ac:dyDescent="0.2">
      <c r="A3" t="s">
        <v>10</v>
      </c>
      <c r="B3" t="s">
        <v>14</v>
      </c>
      <c r="C3">
        <v>0.13300000000000001</v>
      </c>
      <c r="D3">
        <v>2.5999999999999999E-2</v>
      </c>
      <c r="E3">
        <v>5.1239999999999997</v>
      </c>
      <c r="F3">
        <v>0</v>
      </c>
      <c r="G3">
        <v>8.2000000000000003E-2</v>
      </c>
      <c r="H3">
        <v>0.184</v>
      </c>
      <c r="I3" t="s">
        <v>12</v>
      </c>
      <c r="J3" t="s">
        <v>12</v>
      </c>
      <c r="K3" t="s">
        <v>13</v>
      </c>
    </row>
    <row r="4" spans="1:13" hidden="1" x14ac:dyDescent="0.2">
      <c r="A4" t="s">
        <v>10</v>
      </c>
      <c r="B4" t="s">
        <v>15</v>
      </c>
      <c r="C4">
        <v>4.0000000000000001E-3</v>
      </c>
      <c r="D4">
        <v>2.5000000000000001E-2</v>
      </c>
      <c r="E4">
        <v>0.14399999999999999</v>
      </c>
      <c r="F4">
        <v>0.88600000000000001</v>
      </c>
      <c r="G4">
        <v>-4.4999999999999998E-2</v>
      </c>
      <c r="H4">
        <v>5.1999999999999998E-2</v>
      </c>
      <c r="I4" t="s">
        <v>12</v>
      </c>
      <c r="J4" t="s">
        <v>12</v>
      </c>
    </row>
    <row r="5" spans="1:13" hidden="1" x14ac:dyDescent="0.2">
      <c r="A5" t="s">
        <v>10</v>
      </c>
      <c r="B5" t="s">
        <v>16</v>
      </c>
      <c r="C5">
        <v>-6.0000000000000001E-3</v>
      </c>
      <c r="D5">
        <v>3.0000000000000001E-3</v>
      </c>
      <c r="E5">
        <v>-1.6919999999999999</v>
      </c>
      <c r="F5">
        <v>9.0999999999999998E-2</v>
      </c>
      <c r="G5">
        <v>-1.2E-2</v>
      </c>
      <c r="H5">
        <v>1E-3</v>
      </c>
      <c r="I5" t="s">
        <v>12</v>
      </c>
      <c r="J5" t="s">
        <v>12</v>
      </c>
    </row>
    <row r="6" spans="1:13" hidden="1" x14ac:dyDescent="0.2">
      <c r="A6" t="s">
        <v>10</v>
      </c>
      <c r="B6" t="s">
        <v>17</v>
      </c>
      <c r="C6">
        <v>-0.72499999999999998</v>
      </c>
      <c r="D6">
        <v>0.23400000000000001</v>
      </c>
      <c r="E6">
        <v>-3.0990000000000002</v>
      </c>
      <c r="F6">
        <v>2E-3</v>
      </c>
      <c r="G6">
        <v>-1.1839999999999999</v>
      </c>
      <c r="H6">
        <v>-0.26700000000000002</v>
      </c>
      <c r="K6" t="s">
        <v>18</v>
      </c>
    </row>
    <row r="7" spans="1:13" x14ac:dyDescent="0.2">
      <c r="A7" t="s">
        <v>10</v>
      </c>
      <c r="B7" t="s">
        <v>19</v>
      </c>
      <c r="C7">
        <v>0.20300000000000001</v>
      </c>
      <c r="D7">
        <v>4.5999999999999999E-2</v>
      </c>
      <c r="E7">
        <v>4.367</v>
      </c>
      <c r="F7">
        <v>0</v>
      </c>
      <c r="G7">
        <v>0.112</v>
      </c>
      <c r="H7">
        <v>0.29399999999999998</v>
      </c>
      <c r="I7" t="s">
        <v>12</v>
      </c>
      <c r="J7" t="s">
        <v>12</v>
      </c>
      <c r="K7" t="s">
        <v>13</v>
      </c>
    </row>
    <row r="8" spans="1:13" hidden="1" x14ac:dyDescent="0.2">
      <c r="A8" t="s">
        <v>10</v>
      </c>
      <c r="B8" t="s">
        <v>20</v>
      </c>
      <c r="C8">
        <v>5.0000000000000001E-3</v>
      </c>
      <c r="D8">
        <v>8.0000000000000002E-3</v>
      </c>
      <c r="E8">
        <v>0.66400000000000003</v>
      </c>
      <c r="F8">
        <v>0.50700000000000001</v>
      </c>
      <c r="G8">
        <v>-0.01</v>
      </c>
      <c r="H8">
        <v>2.1000000000000001E-2</v>
      </c>
      <c r="I8" t="s">
        <v>12</v>
      </c>
      <c r="J8" t="s">
        <v>12</v>
      </c>
    </row>
    <row r="9" spans="1:13" hidden="1" x14ac:dyDescent="0.2">
      <c r="A9" t="s">
        <v>10</v>
      </c>
      <c r="B9" t="s">
        <v>21</v>
      </c>
      <c r="C9">
        <v>-0.70199999999999996</v>
      </c>
      <c r="D9">
        <v>0.23300000000000001</v>
      </c>
      <c r="E9">
        <v>-3.0179999999999998</v>
      </c>
      <c r="F9">
        <v>3.0000000000000001E-3</v>
      </c>
      <c r="G9">
        <v>-1.1579999999999999</v>
      </c>
      <c r="H9">
        <v>-0.246</v>
      </c>
      <c r="K9" t="s">
        <v>18</v>
      </c>
    </row>
    <row r="10" spans="1:13" hidden="1" x14ac:dyDescent="0.2">
      <c r="A10" t="s">
        <v>10</v>
      </c>
      <c r="B10" t="s">
        <v>22</v>
      </c>
      <c r="C10">
        <v>-1.4999999999999999E-2</v>
      </c>
      <c r="D10">
        <v>1.7999999999999999E-2</v>
      </c>
      <c r="E10">
        <v>-0.81200000000000006</v>
      </c>
      <c r="F10">
        <v>0.41699999999999998</v>
      </c>
      <c r="G10">
        <v>-5.0999999999999997E-2</v>
      </c>
      <c r="H10">
        <v>2.1000000000000001E-2</v>
      </c>
      <c r="I10" t="s">
        <v>12</v>
      </c>
      <c r="J10" t="s">
        <v>12</v>
      </c>
    </row>
    <row r="11" spans="1:13" hidden="1" x14ac:dyDescent="0.2">
      <c r="A11" t="s">
        <v>10</v>
      </c>
      <c r="B11" t="s">
        <v>23</v>
      </c>
      <c r="C11">
        <v>-2.1000000000000001E-2</v>
      </c>
      <c r="D11">
        <v>8.0000000000000002E-3</v>
      </c>
      <c r="E11">
        <v>-2.7360000000000002</v>
      </c>
      <c r="F11">
        <v>6.0000000000000001E-3</v>
      </c>
      <c r="G11">
        <v>-3.5999999999999997E-2</v>
      </c>
      <c r="H11">
        <v>-6.0000000000000001E-3</v>
      </c>
      <c r="I11" t="s">
        <v>12</v>
      </c>
      <c r="J11" t="s">
        <v>12</v>
      </c>
      <c r="K11" t="s">
        <v>18</v>
      </c>
    </row>
    <row r="12" spans="1:13" hidden="1" x14ac:dyDescent="0.2">
      <c r="A12" t="s">
        <v>10</v>
      </c>
      <c r="B12" t="s">
        <v>24</v>
      </c>
      <c r="C12">
        <v>91.67</v>
      </c>
      <c r="D12">
        <v>330.37799999999999</v>
      </c>
      <c r="E12">
        <v>0.27700000000000002</v>
      </c>
      <c r="F12">
        <v>0.78100000000000003</v>
      </c>
      <c r="G12">
        <v>-555.87199999999996</v>
      </c>
      <c r="H12">
        <v>739.21199999999999</v>
      </c>
    </row>
    <row r="13" spans="1:13" hidden="1" x14ac:dyDescent="0.2">
      <c r="A13" t="s">
        <v>10</v>
      </c>
      <c r="B13" t="s">
        <v>25</v>
      </c>
      <c r="C13">
        <v>91.569000000000003</v>
      </c>
      <c r="D13">
        <v>330.36900000000003</v>
      </c>
      <c r="E13">
        <v>0.27700000000000002</v>
      </c>
      <c r="F13">
        <v>0.78200000000000003</v>
      </c>
      <c r="G13">
        <v>-555.95399999999995</v>
      </c>
      <c r="H13">
        <v>739.09299999999996</v>
      </c>
    </row>
    <row r="14" spans="1:13" hidden="1" x14ac:dyDescent="0.2">
      <c r="A14" t="s">
        <v>10</v>
      </c>
      <c r="B14" t="s">
        <v>26</v>
      </c>
      <c r="C14">
        <v>92.096000000000004</v>
      </c>
      <c r="D14">
        <v>330.35700000000003</v>
      </c>
      <c r="E14">
        <v>0.27900000000000003</v>
      </c>
      <c r="F14">
        <v>0.78</v>
      </c>
      <c r="G14">
        <v>-555.40499999999997</v>
      </c>
      <c r="H14">
        <v>739.596</v>
      </c>
    </row>
    <row r="15" spans="1:13" hidden="1" x14ac:dyDescent="0.2">
      <c r="A15" t="s">
        <v>10</v>
      </c>
      <c r="B15" t="s">
        <v>27</v>
      </c>
      <c r="C15">
        <v>-0.375</v>
      </c>
      <c r="D15">
        <v>0.69399999999999995</v>
      </c>
      <c r="E15">
        <v>-0.54</v>
      </c>
      <c r="F15">
        <v>0.58899999999999997</v>
      </c>
      <c r="G15">
        <v>-1.7350000000000001</v>
      </c>
      <c r="H15">
        <v>0.98599999999999999</v>
      </c>
    </row>
    <row r="16" spans="1:13" hidden="1" x14ac:dyDescent="0.2">
      <c r="A16" t="s">
        <v>10</v>
      </c>
      <c r="B16" t="s">
        <v>28</v>
      </c>
      <c r="C16">
        <v>0.73099999999999998</v>
      </c>
      <c r="D16">
        <v>0.77400000000000002</v>
      </c>
      <c r="E16">
        <v>0.94499999999999995</v>
      </c>
      <c r="F16">
        <v>0.34499999999999997</v>
      </c>
      <c r="G16">
        <v>-0.78600000000000003</v>
      </c>
      <c r="H16">
        <v>2.2480000000000002</v>
      </c>
    </row>
    <row r="17" spans="1:11" hidden="1" x14ac:dyDescent="0.2">
      <c r="A17" t="s">
        <v>10</v>
      </c>
      <c r="B17" t="s">
        <v>29</v>
      </c>
      <c r="C17">
        <v>0.16600000000000001</v>
      </c>
      <c r="D17">
        <v>0.247</v>
      </c>
      <c r="E17">
        <v>0.67300000000000004</v>
      </c>
      <c r="F17">
        <v>0.501</v>
      </c>
      <c r="G17">
        <v>-0.318</v>
      </c>
      <c r="H17">
        <v>0.65</v>
      </c>
    </row>
    <row r="18" spans="1:11" hidden="1" x14ac:dyDescent="0.2">
      <c r="A18" t="s">
        <v>10</v>
      </c>
      <c r="B18" t="s">
        <v>30</v>
      </c>
      <c r="C18">
        <v>-1.222</v>
      </c>
      <c r="D18">
        <v>1.0669999999999999</v>
      </c>
      <c r="E18">
        <v>-1.145</v>
      </c>
      <c r="F18">
        <v>0.252</v>
      </c>
      <c r="G18">
        <v>-3.3130000000000002</v>
      </c>
      <c r="H18">
        <v>0.86899999999999999</v>
      </c>
      <c r="I18" t="s">
        <v>12</v>
      </c>
      <c r="J18" t="s">
        <v>12</v>
      </c>
    </row>
    <row r="19" spans="1:11" hidden="1" x14ac:dyDescent="0.2">
      <c r="A19" t="s">
        <v>10</v>
      </c>
      <c r="B19" t="s">
        <v>31</v>
      </c>
      <c r="C19">
        <v>-4.7E-2</v>
      </c>
      <c r="D19">
        <v>3.1E-2</v>
      </c>
      <c r="E19">
        <v>-1.4810000000000001</v>
      </c>
      <c r="F19">
        <v>0.13900000000000001</v>
      </c>
      <c r="G19">
        <v>-0.108</v>
      </c>
      <c r="H19">
        <v>1.4999999999999999E-2</v>
      </c>
      <c r="I19" t="s">
        <v>12</v>
      </c>
      <c r="J19" t="s">
        <v>12</v>
      </c>
    </row>
    <row r="20" spans="1:11" hidden="1" x14ac:dyDescent="0.2">
      <c r="A20" t="s">
        <v>10</v>
      </c>
      <c r="B20" t="s">
        <v>32</v>
      </c>
      <c r="C20">
        <v>-6.5000000000000002E-2</v>
      </c>
      <c r="D20">
        <v>3.5999999999999997E-2</v>
      </c>
      <c r="E20">
        <v>-1.829</v>
      </c>
      <c r="F20">
        <v>6.7000000000000004E-2</v>
      </c>
      <c r="G20">
        <v>-0.13500000000000001</v>
      </c>
      <c r="H20">
        <v>5.0000000000000001E-3</v>
      </c>
      <c r="I20" t="s">
        <v>12</v>
      </c>
      <c r="J20" t="s">
        <v>12</v>
      </c>
    </row>
    <row r="21" spans="1:11" hidden="1" x14ac:dyDescent="0.2">
      <c r="A21" t="s">
        <v>10</v>
      </c>
      <c r="B21" t="s">
        <v>33</v>
      </c>
      <c r="C21">
        <v>7.0000000000000001E-3</v>
      </c>
      <c r="D21">
        <v>8.9999999999999993E-3</v>
      </c>
      <c r="E21">
        <v>0.749</v>
      </c>
      <c r="F21">
        <v>0.45400000000000001</v>
      </c>
      <c r="G21">
        <v>-1.0999999999999999E-2</v>
      </c>
      <c r="H21">
        <v>2.4E-2</v>
      </c>
      <c r="I21" t="s">
        <v>12</v>
      </c>
      <c r="J21" t="s">
        <v>12</v>
      </c>
    </row>
    <row r="22" spans="1:11" hidden="1" x14ac:dyDescent="0.2">
      <c r="A22" t="s">
        <v>10</v>
      </c>
      <c r="B22" t="s">
        <v>34</v>
      </c>
      <c r="C22">
        <v>0.438</v>
      </c>
      <c r="D22">
        <v>0.32800000000000001</v>
      </c>
      <c r="E22">
        <v>1.3360000000000001</v>
      </c>
      <c r="F22">
        <v>0.18099999999999999</v>
      </c>
      <c r="G22">
        <v>-0.20499999999999999</v>
      </c>
      <c r="H22">
        <v>1.081</v>
      </c>
    </row>
    <row r="23" spans="1:11" hidden="1" x14ac:dyDescent="0.2">
      <c r="A23" t="s">
        <v>10</v>
      </c>
      <c r="B23" t="s">
        <v>35</v>
      </c>
      <c r="C23">
        <v>-0.58699999999999997</v>
      </c>
      <c r="D23">
        <v>0.27100000000000002</v>
      </c>
      <c r="E23">
        <v>-2.17</v>
      </c>
      <c r="F23">
        <v>0.03</v>
      </c>
      <c r="G23">
        <v>-1.1180000000000001</v>
      </c>
      <c r="H23">
        <v>-5.7000000000000002E-2</v>
      </c>
      <c r="K23" t="s">
        <v>36</v>
      </c>
    </row>
    <row r="24" spans="1:11" hidden="1" x14ac:dyDescent="0.2">
      <c r="A24" t="s">
        <v>10</v>
      </c>
      <c r="B24" t="s">
        <v>37</v>
      </c>
      <c r="C24">
        <v>-0.154</v>
      </c>
      <c r="D24">
        <v>0.374</v>
      </c>
      <c r="E24">
        <v>-0.41299999999999998</v>
      </c>
      <c r="F24">
        <v>0.68</v>
      </c>
      <c r="G24">
        <v>-0.88700000000000001</v>
      </c>
      <c r="H24">
        <v>0.57799999999999996</v>
      </c>
    </row>
    <row r="25" spans="1:11" hidden="1" x14ac:dyDescent="0.2">
      <c r="A25" t="s">
        <v>10</v>
      </c>
      <c r="B25" t="s">
        <v>38</v>
      </c>
      <c r="C25">
        <v>-2.5999999999999999E-2</v>
      </c>
      <c r="D25">
        <v>0.02</v>
      </c>
      <c r="E25">
        <v>-1.2769999999999999</v>
      </c>
      <c r="F25">
        <v>0.20200000000000001</v>
      </c>
      <c r="G25">
        <v>-6.6000000000000003E-2</v>
      </c>
      <c r="H25">
        <v>1.4E-2</v>
      </c>
      <c r="I25" t="s">
        <v>12</v>
      </c>
      <c r="J25" t="s">
        <v>12</v>
      </c>
    </row>
    <row r="26" spans="1:11" x14ac:dyDescent="0.2">
      <c r="A26" t="s">
        <v>39</v>
      </c>
      <c r="B26" t="s">
        <v>40</v>
      </c>
      <c r="C26">
        <v>-3.4940000000000002</v>
      </c>
      <c r="D26">
        <v>0.63800000000000001</v>
      </c>
      <c r="E26">
        <v>-5.4790000000000001</v>
      </c>
      <c r="F26">
        <v>0</v>
      </c>
      <c r="G26">
        <v>-4.7430000000000003</v>
      </c>
      <c r="H26">
        <v>-2.2440000000000002</v>
      </c>
      <c r="K26" t="s">
        <v>13</v>
      </c>
    </row>
    <row r="27" spans="1:11" x14ac:dyDescent="0.2">
      <c r="A27" t="s">
        <v>41</v>
      </c>
      <c r="B27" t="s">
        <v>40</v>
      </c>
      <c r="C27">
        <v>-3.742</v>
      </c>
      <c r="D27">
        <v>0.62</v>
      </c>
      <c r="E27">
        <v>-6.0350000000000001</v>
      </c>
      <c r="F27">
        <v>0</v>
      </c>
      <c r="G27">
        <v>-4.9569999999999999</v>
      </c>
      <c r="H27">
        <v>-2.5259999999999998</v>
      </c>
      <c r="K27" t="s">
        <v>13</v>
      </c>
    </row>
    <row r="28" spans="1:11" x14ac:dyDescent="0.2">
      <c r="A28" t="s">
        <v>42</v>
      </c>
      <c r="B28" t="s">
        <v>40</v>
      </c>
      <c r="C28">
        <v>-0.68500000000000005</v>
      </c>
      <c r="D28">
        <v>0.16600000000000001</v>
      </c>
      <c r="E28">
        <v>-4.1210000000000004</v>
      </c>
      <c r="F28">
        <v>0</v>
      </c>
      <c r="G28">
        <v>-1.0109999999999999</v>
      </c>
      <c r="H28">
        <v>-0.35899999999999999</v>
      </c>
      <c r="K28" t="s">
        <v>13</v>
      </c>
    </row>
    <row r="29" spans="1:11" x14ac:dyDescent="0.2">
      <c r="A29" t="s">
        <v>43</v>
      </c>
      <c r="B29" t="s">
        <v>40</v>
      </c>
      <c r="C29">
        <v>-0.47099999999999997</v>
      </c>
      <c r="D29">
        <v>0.14199999999999999</v>
      </c>
      <c r="E29">
        <v>-3.306</v>
      </c>
      <c r="F29">
        <v>1E-3</v>
      </c>
      <c r="G29">
        <v>-0.75</v>
      </c>
      <c r="H29">
        <v>-0.192</v>
      </c>
      <c r="K29" t="s">
        <v>18</v>
      </c>
    </row>
    <row r="30" spans="1:11" hidden="1" x14ac:dyDescent="0.2">
      <c r="A30" t="s">
        <v>44</v>
      </c>
      <c r="B30" t="s">
        <v>40</v>
      </c>
      <c r="C30">
        <v>-0.192</v>
      </c>
      <c r="D30">
        <v>0.186</v>
      </c>
      <c r="E30">
        <v>-1.034</v>
      </c>
      <c r="F30">
        <v>0.30099999999999999</v>
      </c>
      <c r="G30">
        <v>-0.55600000000000005</v>
      </c>
      <c r="H30">
        <v>0.17199999999999999</v>
      </c>
    </row>
    <row r="31" spans="1:11" x14ac:dyDescent="0.2">
      <c r="A31" t="s">
        <v>45</v>
      </c>
      <c r="B31" t="s">
        <v>40</v>
      </c>
      <c r="C31">
        <v>-3.113</v>
      </c>
      <c r="D31">
        <v>0.58399999999999996</v>
      </c>
      <c r="E31">
        <v>-5.3280000000000003</v>
      </c>
      <c r="F31">
        <v>0</v>
      </c>
      <c r="G31">
        <v>-4.258</v>
      </c>
      <c r="H31">
        <v>-1.968</v>
      </c>
      <c r="K31" t="s">
        <v>13</v>
      </c>
    </row>
    <row r="32" spans="1:11" hidden="1" x14ac:dyDescent="0.2">
      <c r="A32" t="s">
        <v>46</v>
      </c>
      <c r="B32" t="s">
        <v>40</v>
      </c>
      <c r="C32">
        <v>-1.1890000000000001</v>
      </c>
      <c r="D32">
        <v>0.79500000000000004</v>
      </c>
      <c r="E32">
        <v>-1.496</v>
      </c>
      <c r="F32">
        <v>0.13500000000000001</v>
      </c>
      <c r="G32">
        <v>-2.7480000000000002</v>
      </c>
      <c r="H32">
        <v>0.36899999999999999</v>
      </c>
    </row>
    <row r="33" spans="1:11" hidden="1" x14ac:dyDescent="0.2">
      <c r="A33" t="s">
        <v>47</v>
      </c>
      <c r="B33" t="s">
        <v>40</v>
      </c>
      <c r="C33">
        <v>-0.214</v>
      </c>
      <c r="D33">
        <v>0.183</v>
      </c>
      <c r="E33">
        <v>-1.1659999999999999</v>
      </c>
      <c r="F33">
        <v>0.24299999999999999</v>
      </c>
      <c r="G33">
        <v>-0.57299999999999995</v>
      </c>
      <c r="H33">
        <v>0.14499999999999999</v>
      </c>
    </row>
    <row r="34" spans="1:11" hidden="1" x14ac:dyDescent="0.2">
      <c r="A34" t="s">
        <v>48</v>
      </c>
      <c r="B34" t="s">
        <v>40</v>
      </c>
      <c r="C34">
        <v>-0.53100000000000003</v>
      </c>
      <c r="D34">
        <v>0.19800000000000001</v>
      </c>
      <c r="E34">
        <v>-2.681</v>
      </c>
      <c r="F34">
        <v>7.0000000000000001E-3</v>
      </c>
      <c r="G34">
        <v>-0.92</v>
      </c>
      <c r="H34">
        <v>-0.14299999999999999</v>
      </c>
      <c r="K34" t="s">
        <v>18</v>
      </c>
    </row>
    <row r="35" spans="1:11" hidden="1" x14ac:dyDescent="0.2">
      <c r="A35" t="s">
        <v>49</v>
      </c>
      <c r="B35" t="s">
        <v>40</v>
      </c>
      <c r="C35">
        <v>0.42599999999999999</v>
      </c>
      <c r="D35">
        <v>0.40899999999999997</v>
      </c>
      <c r="E35">
        <v>1.0429999999999999</v>
      </c>
      <c r="F35">
        <v>0.29699999999999999</v>
      </c>
      <c r="G35">
        <v>-0.375</v>
      </c>
      <c r="H35">
        <v>1.228</v>
      </c>
    </row>
    <row r="36" spans="1:11" hidden="1" x14ac:dyDescent="0.2">
      <c r="A36" t="s">
        <v>50</v>
      </c>
      <c r="B36" t="s">
        <v>40</v>
      </c>
      <c r="C36">
        <v>-92.322000000000003</v>
      </c>
      <c r="D36">
        <v>330.38</v>
      </c>
      <c r="E36">
        <v>-0.27900000000000003</v>
      </c>
      <c r="F36">
        <v>0.78</v>
      </c>
      <c r="G36">
        <v>-739.86699999999996</v>
      </c>
      <c r="H36">
        <v>555.22299999999996</v>
      </c>
    </row>
    <row r="37" spans="1:11" hidden="1" x14ac:dyDescent="0.2">
      <c r="A37" t="s">
        <v>51</v>
      </c>
      <c r="B37" t="s">
        <v>40</v>
      </c>
      <c r="C37">
        <v>-0.40799999999999997</v>
      </c>
      <c r="D37">
        <v>0.68300000000000005</v>
      </c>
      <c r="E37">
        <v>-0.59699999999999998</v>
      </c>
      <c r="F37">
        <v>0.55000000000000004</v>
      </c>
      <c r="G37">
        <v>-1.7470000000000001</v>
      </c>
      <c r="H37">
        <v>0.93100000000000005</v>
      </c>
    </row>
    <row r="38" spans="1:11" x14ac:dyDescent="0.2">
      <c r="A38" t="s">
        <v>52</v>
      </c>
      <c r="B38" t="s">
        <v>40</v>
      </c>
      <c r="C38">
        <v>-0.78200000000000003</v>
      </c>
      <c r="D38">
        <v>0.20499999999999999</v>
      </c>
      <c r="E38">
        <v>-3.819</v>
      </c>
      <c r="F38">
        <v>0</v>
      </c>
      <c r="G38">
        <v>-1.1830000000000001</v>
      </c>
      <c r="H38">
        <v>-0.38100000000000001</v>
      </c>
      <c r="K38" t="s">
        <v>13</v>
      </c>
    </row>
    <row r="39" spans="1:11" hidden="1" x14ac:dyDescent="0.2">
      <c r="A39" t="s">
        <v>53</v>
      </c>
      <c r="B39" t="s">
        <v>40</v>
      </c>
      <c r="C39">
        <v>-0.379</v>
      </c>
      <c r="D39">
        <v>0.27100000000000002</v>
      </c>
      <c r="E39">
        <v>-1.4</v>
      </c>
      <c r="F39">
        <v>0.161</v>
      </c>
      <c r="G39">
        <v>-0.91</v>
      </c>
      <c r="H39">
        <v>0.151</v>
      </c>
    </row>
    <row r="40" spans="1:11" hidden="1" x14ac:dyDescent="0.2">
      <c r="A40" t="s">
        <v>54</v>
      </c>
      <c r="B40" t="s">
        <v>40</v>
      </c>
      <c r="C40">
        <v>-0.20499999999999999</v>
      </c>
      <c r="D40">
        <v>0.32400000000000001</v>
      </c>
      <c r="E40">
        <v>-0.63200000000000001</v>
      </c>
      <c r="F40">
        <v>0.52700000000000002</v>
      </c>
      <c r="G40">
        <v>-0.84</v>
      </c>
      <c r="H40">
        <v>0.43</v>
      </c>
    </row>
    <row r="41" spans="1:11" hidden="1" x14ac:dyDescent="0.2">
      <c r="A41" t="s">
        <v>55</v>
      </c>
      <c r="B41" t="s">
        <v>40</v>
      </c>
      <c r="C41">
        <v>7.2999999999999995E-2</v>
      </c>
      <c r="D41">
        <v>0.41499999999999998</v>
      </c>
      <c r="E41">
        <v>0.17699999999999999</v>
      </c>
      <c r="F41">
        <v>0.86</v>
      </c>
      <c r="G41">
        <v>-0.73899999999999999</v>
      </c>
      <c r="H41">
        <v>0.88600000000000001</v>
      </c>
    </row>
    <row r="42" spans="1:11" hidden="1" x14ac:dyDescent="0.2">
      <c r="A42" t="s">
        <v>56</v>
      </c>
      <c r="B42" t="s">
        <v>40</v>
      </c>
      <c r="C42">
        <v>-0.94199999999999995</v>
      </c>
      <c r="D42">
        <v>0.38600000000000001</v>
      </c>
      <c r="E42">
        <v>-2.4430000000000001</v>
      </c>
      <c r="F42">
        <v>1.4999999999999999E-2</v>
      </c>
      <c r="G42">
        <v>-1.698</v>
      </c>
      <c r="H42">
        <v>-0.186</v>
      </c>
      <c r="K42" t="s">
        <v>36</v>
      </c>
    </row>
    <row r="43" spans="1:11" x14ac:dyDescent="0.2">
      <c r="A43" t="s">
        <v>57</v>
      </c>
      <c r="B43" t="s">
        <v>40</v>
      </c>
      <c r="C43">
        <v>-0.98</v>
      </c>
      <c r="D43">
        <v>0.26500000000000001</v>
      </c>
      <c r="E43">
        <v>-3.6949999999999998</v>
      </c>
      <c r="F43">
        <v>0</v>
      </c>
      <c r="G43">
        <v>-1.5</v>
      </c>
      <c r="H43">
        <v>-0.46</v>
      </c>
      <c r="K43" t="s">
        <v>13</v>
      </c>
    </row>
    <row r="44" spans="1:11" hidden="1" x14ac:dyDescent="0.2">
      <c r="A44" t="s">
        <v>58</v>
      </c>
      <c r="B44" t="s">
        <v>40</v>
      </c>
      <c r="C44">
        <v>-0.28699999999999998</v>
      </c>
      <c r="D44">
        <v>0.224</v>
      </c>
      <c r="E44">
        <v>-1.2809999999999999</v>
      </c>
      <c r="F44">
        <v>0.2</v>
      </c>
      <c r="G44">
        <v>-0.72499999999999998</v>
      </c>
      <c r="H44">
        <v>0.152</v>
      </c>
    </row>
    <row r="45" spans="1:11" hidden="1" x14ac:dyDescent="0.2">
      <c r="A45" t="s">
        <v>59</v>
      </c>
      <c r="B45" t="s">
        <v>40</v>
      </c>
      <c r="C45">
        <v>-3.6999999999999998E-2</v>
      </c>
      <c r="D45">
        <v>0.5</v>
      </c>
      <c r="E45">
        <v>-7.3999999999999996E-2</v>
      </c>
      <c r="F45">
        <v>0.94099999999999995</v>
      </c>
      <c r="G45">
        <v>-1.016</v>
      </c>
      <c r="H45">
        <v>0.94199999999999995</v>
      </c>
    </row>
    <row r="46" spans="1:11" hidden="1" x14ac:dyDescent="0.2">
      <c r="B46" t="s">
        <v>60</v>
      </c>
      <c r="I46" t="s">
        <v>61</v>
      </c>
      <c r="J46" t="s">
        <v>12</v>
      </c>
    </row>
    <row r="47" spans="1:11" hidden="1" x14ac:dyDescent="0.2">
      <c r="B47" t="s">
        <v>62</v>
      </c>
      <c r="I47" t="s">
        <v>12</v>
      </c>
      <c r="J47" t="s">
        <v>12</v>
      </c>
    </row>
    <row r="48" spans="1:11" hidden="1" x14ac:dyDescent="0.2">
      <c r="B48" t="s">
        <v>63</v>
      </c>
      <c r="I48" t="s">
        <v>12</v>
      </c>
      <c r="J48" t="s">
        <v>12</v>
      </c>
    </row>
    <row r="49" spans="2:10" hidden="1" x14ac:dyDescent="0.2">
      <c r="B49" t="s">
        <v>64</v>
      </c>
      <c r="I49" t="s">
        <v>61</v>
      </c>
      <c r="J49" t="s">
        <v>12</v>
      </c>
    </row>
    <row r="50" spans="2:10" hidden="1" x14ac:dyDescent="0.2">
      <c r="B50" t="s">
        <v>65</v>
      </c>
      <c r="I50" t="s">
        <v>61</v>
      </c>
      <c r="J50" t="s">
        <v>12</v>
      </c>
    </row>
    <row r="51" spans="2:10" hidden="1" x14ac:dyDescent="0.2">
      <c r="B51" t="s">
        <v>66</v>
      </c>
      <c r="I51" t="s">
        <v>12</v>
      </c>
      <c r="J51" t="s">
        <v>12</v>
      </c>
    </row>
    <row r="52" spans="2:10" hidden="1" x14ac:dyDescent="0.2">
      <c r="B52" t="s">
        <v>67</v>
      </c>
      <c r="I52" t="s">
        <v>12</v>
      </c>
      <c r="J52" t="s">
        <v>12</v>
      </c>
    </row>
  </sheetData>
  <autoFilter ref="F1:F52" xr:uid="{00000000-0001-0000-0000-000000000000}">
    <filterColumn colId="0">
      <customFilters>
        <customFilter operator="lessThan" val="2E-3"/>
      </customFilters>
    </filterColumn>
  </autoFilter>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N104"/>
  <sheetViews>
    <sheetView workbookViewId="0">
      <selection activeCell="M1" sqref="M1:N1"/>
    </sheetView>
  </sheetViews>
  <sheetFormatPr baseColWidth="10" defaultRowHeight="15" x14ac:dyDescent="0.2"/>
  <cols>
    <col min="13" max="13" width="15.1640625" customWidth="1"/>
  </cols>
  <sheetData>
    <row r="1" spans="1:14" x14ac:dyDescent="0.2">
      <c r="A1" t="s">
        <v>0</v>
      </c>
      <c r="B1" t="s">
        <v>1</v>
      </c>
      <c r="C1" t="s">
        <v>68</v>
      </c>
      <c r="D1" t="s">
        <v>2</v>
      </c>
      <c r="E1" t="s">
        <v>3</v>
      </c>
      <c r="F1" t="s">
        <v>163</v>
      </c>
      <c r="G1" t="s">
        <v>4</v>
      </c>
      <c r="H1" t="s">
        <v>5</v>
      </c>
      <c r="I1" t="s">
        <v>6</v>
      </c>
      <c r="J1" t="s">
        <v>7</v>
      </c>
      <c r="K1" t="s">
        <v>8</v>
      </c>
      <c r="L1" t="s">
        <v>9</v>
      </c>
      <c r="M1" t="s">
        <v>164</v>
      </c>
      <c r="N1" s="1">
        <f>0.05/(18*2)</f>
        <v>1.3888888888888889E-3</v>
      </c>
    </row>
    <row r="2" spans="1:14" hidden="1" x14ac:dyDescent="0.2">
      <c r="B2" t="s">
        <v>69</v>
      </c>
      <c r="J2" t="s">
        <v>70</v>
      </c>
      <c r="K2" t="s">
        <v>12</v>
      </c>
    </row>
    <row r="3" spans="1:14" hidden="1" x14ac:dyDescent="0.2">
      <c r="A3" t="s">
        <v>71</v>
      </c>
      <c r="B3" t="s">
        <v>15</v>
      </c>
      <c r="C3" t="s">
        <v>72</v>
      </c>
      <c r="D3">
        <v>9.5000000000000001E-2</v>
      </c>
      <c r="E3">
        <v>9.6000000000000002E-2</v>
      </c>
      <c r="F3">
        <v>0.99199999999999999</v>
      </c>
      <c r="G3">
        <v>0.32100000000000001</v>
      </c>
      <c r="H3">
        <v>-9.2999999999999999E-2</v>
      </c>
      <c r="I3">
        <v>0.28299999999999997</v>
      </c>
    </row>
    <row r="4" spans="1:14" hidden="1" x14ac:dyDescent="0.2">
      <c r="A4" t="s">
        <v>71</v>
      </c>
      <c r="B4" t="s">
        <v>15</v>
      </c>
      <c r="C4" t="s">
        <v>73</v>
      </c>
      <c r="D4">
        <v>-4.2999999999999997E-2</v>
      </c>
      <c r="E4">
        <v>6.5000000000000002E-2</v>
      </c>
      <c r="F4">
        <v>-0.66500000000000004</v>
      </c>
      <c r="G4">
        <v>0.50600000000000001</v>
      </c>
      <c r="H4">
        <v>-0.16900000000000001</v>
      </c>
      <c r="I4">
        <v>8.4000000000000005E-2</v>
      </c>
    </row>
    <row r="5" spans="1:14" hidden="1" x14ac:dyDescent="0.2">
      <c r="A5" t="s">
        <v>74</v>
      </c>
      <c r="B5" t="s">
        <v>75</v>
      </c>
      <c r="C5" t="s">
        <v>72</v>
      </c>
      <c r="D5">
        <v>0.104</v>
      </c>
      <c r="E5">
        <v>0.11799999999999999</v>
      </c>
      <c r="F5">
        <v>0.88400000000000001</v>
      </c>
      <c r="G5">
        <v>0.377</v>
      </c>
      <c r="H5">
        <v>-0.127</v>
      </c>
      <c r="I5">
        <v>0.33600000000000002</v>
      </c>
    </row>
    <row r="6" spans="1:14" hidden="1" x14ac:dyDescent="0.2">
      <c r="A6" t="s">
        <v>74</v>
      </c>
      <c r="B6" t="s">
        <v>75</v>
      </c>
      <c r="C6" t="s">
        <v>73</v>
      </c>
      <c r="D6">
        <v>0.127</v>
      </c>
      <c r="E6">
        <v>4.8000000000000001E-2</v>
      </c>
      <c r="F6">
        <v>2.6309999999999998</v>
      </c>
      <c r="G6">
        <v>8.9999999999999993E-3</v>
      </c>
      <c r="H6">
        <v>3.2000000000000001E-2</v>
      </c>
      <c r="I6">
        <v>0.222</v>
      </c>
      <c r="L6" t="s">
        <v>18</v>
      </c>
    </row>
    <row r="7" spans="1:14" hidden="1" x14ac:dyDescent="0.2">
      <c r="A7" t="s">
        <v>76</v>
      </c>
      <c r="B7" t="s">
        <v>77</v>
      </c>
      <c r="C7" t="s">
        <v>72</v>
      </c>
      <c r="D7">
        <v>4.0000000000000001E-3</v>
      </c>
      <c r="E7">
        <v>6.6000000000000003E-2</v>
      </c>
      <c r="F7">
        <v>6.4000000000000001E-2</v>
      </c>
      <c r="G7">
        <v>0.94899999999999995</v>
      </c>
      <c r="H7">
        <v>-0.124</v>
      </c>
      <c r="I7">
        <v>0.13300000000000001</v>
      </c>
    </row>
    <row r="8" spans="1:14" hidden="1" x14ac:dyDescent="0.2">
      <c r="A8" t="s">
        <v>76</v>
      </c>
      <c r="B8" t="s">
        <v>77</v>
      </c>
      <c r="C8" t="s">
        <v>73</v>
      </c>
      <c r="D8">
        <v>0.26700000000000002</v>
      </c>
      <c r="E8">
        <v>7.0999999999999994E-2</v>
      </c>
      <c r="F8">
        <v>3.7349999999999999</v>
      </c>
      <c r="G8">
        <v>0</v>
      </c>
      <c r="H8">
        <v>0.127</v>
      </c>
      <c r="I8">
        <v>0.40699999999999997</v>
      </c>
      <c r="L8" t="s">
        <v>13</v>
      </c>
    </row>
    <row r="9" spans="1:14" hidden="1" x14ac:dyDescent="0.2">
      <c r="A9" t="s">
        <v>78</v>
      </c>
      <c r="B9" t="s">
        <v>79</v>
      </c>
      <c r="C9" t="s">
        <v>72</v>
      </c>
      <c r="D9">
        <v>0.17699999999999999</v>
      </c>
      <c r="E9">
        <v>6.8000000000000005E-2</v>
      </c>
      <c r="F9">
        <v>2.613</v>
      </c>
      <c r="G9">
        <v>8.9999999999999993E-3</v>
      </c>
      <c r="H9">
        <v>4.3999999999999997E-2</v>
      </c>
      <c r="I9">
        <v>0.31</v>
      </c>
      <c r="L9" t="s">
        <v>18</v>
      </c>
    </row>
    <row r="10" spans="1:14" hidden="1" x14ac:dyDescent="0.2">
      <c r="A10" t="s">
        <v>78</v>
      </c>
      <c r="B10" t="s">
        <v>79</v>
      </c>
      <c r="C10" t="s">
        <v>73</v>
      </c>
      <c r="D10">
        <v>0.22</v>
      </c>
      <c r="E10">
        <v>9.1999999999999998E-2</v>
      </c>
      <c r="F10">
        <v>2.3940000000000001</v>
      </c>
      <c r="G10">
        <v>1.7000000000000001E-2</v>
      </c>
      <c r="H10">
        <v>0.04</v>
      </c>
      <c r="I10">
        <v>0.39900000000000002</v>
      </c>
      <c r="L10" t="s">
        <v>36</v>
      </c>
    </row>
    <row r="11" spans="1:14" hidden="1" x14ac:dyDescent="0.2">
      <c r="A11" t="s">
        <v>80</v>
      </c>
      <c r="B11" t="s">
        <v>81</v>
      </c>
      <c r="C11" t="s">
        <v>72</v>
      </c>
      <c r="D11">
        <v>-1.0999999999999999E-2</v>
      </c>
      <c r="E11">
        <v>8.2000000000000003E-2</v>
      </c>
      <c r="F11">
        <v>-0.13900000000000001</v>
      </c>
      <c r="G11">
        <v>0.88900000000000001</v>
      </c>
      <c r="H11">
        <v>-0.17199999999999999</v>
      </c>
      <c r="I11">
        <v>0.14899999999999999</v>
      </c>
    </row>
    <row r="12" spans="1:14" hidden="1" x14ac:dyDescent="0.2">
      <c r="A12" t="s">
        <v>80</v>
      </c>
      <c r="B12" t="s">
        <v>81</v>
      </c>
      <c r="C12" t="s">
        <v>73</v>
      </c>
      <c r="D12">
        <v>0.17899999999999999</v>
      </c>
      <c r="E12">
        <v>4.5999999999999999E-2</v>
      </c>
      <c r="F12">
        <v>3.8610000000000002</v>
      </c>
      <c r="G12">
        <v>0</v>
      </c>
      <c r="H12">
        <v>8.7999999999999995E-2</v>
      </c>
      <c r="I12">
        <v>0.27</v>
      </c>
      <c r="L12" t="s">
        <v>13</v>
      </c>
    </row>
    <row r="13" spans="1:14" hidden="1" x14ac:dyDescent="0.2">
      <c r="A13" t="s">
        <v>82</v>
      </c>
      <c r="B13" t="s">
        <v>83</v>
      </c>
      <c r="C13" t="s">
        <v>72</v>
      </c>
      <c r="D13">
        <v>3.0000000000000001E-3</v>
      </c>
      <c r="E13">
        <v>4.3999999999999997E-2</v>
      </c>
      <c r="F13">
        <v>7.1999999999999995E-2</v>
      </c>
      <c r="G13">
        <v>0.94299999999999995</v>
      </c>
      <c r="H13">
        <v>-8.3000000000000004E-2</v>
      </c>
      <c r="I13">
        <v>8.8999999999999996E-2</v>
      </c>
    </row>
    <row r="14" spans="1:14" hidden="1" x14ac:dyDescent="0.2">
      <c r="A14" t="s">
        <v>82</v>
      </c>
      <c r="B14" t="s">
        <v>83</v>
      </c>
      <c r="C14" t="s">
        <v>73</v>
      </c>
      <c r="D14">
        <v>0.255</v>
      </c>
      <c r="E14">
        <v>8.4000000000000005E-2</v>
      </c>
      <c r="F14">
        <v>3.0579999999999998</v>
      </c>
      <c r="G14">
        <v>2E-3</v>
      </c>
      <c r="H14">
        <v>9.1999999999999998E-2</v>
      </c>
      <c r="I14">
        <v>0.41899999999999998</v>
      </c>
      <c r="L14" t="s">
        <v>18</v>
      </c>
    </row>
    <row r="15" spans="1:14" hidden="1" x14ac:dyDescent="0.2">
      <c r="A15" t="s">
        <v>84</v>
      </c>
      <c r="B15" t="s">
        <v>85</v>
      </c>
      <c r="C15" t="s">
        <v>72</v>
      </c>
      <c r="D15">
        <v>8.6999999999999994E-2</v>
      </c>
      <c r="E15">
        <v>5.8999999999999997E-2</v>
      </c>
      <c r="F15">
        <v>1.4670000000000001</v>
      </c>
      <c r="G15">
        <v>0.14199999999999999</v>
      </c>
      <c r="H15">
        <v>-2.9000000000000001E-2</v>
      </c>
      <c r="I15">
        <v>0.20300000000000001</v>
      </c>
    </row>
    <row r="16" spans="1:14" hidden="1" x14ac:dyDescent="0.2">
      <c r="A16" t="s">
        <v>84</v>
      </c>
      <c r="B16" t="s">
        <v>85</v>
      </c>
      <c r="C16" t="s">
        <v>73</v>
      </c>
      <c r="D16">
        <v>0.20699999999999999</v>
      </c>
      <c r="E16">
        <v>4.9000000000000002E-2</v>
      </c>
      <c r="F16">
        <v>4.2080000000000002</v>
      </c>
      <c r="G16">
        <v>0</v>
      </c>
      <c r="H16">
        <v>0.111</v>
      </c>
      <c r="I16">
        <v>0.30399999999999999</v>
      </c>
      <c r="L16" t="s">
        <v>13</v>
      </c>
    </row>
    <row r="17" spans="1:12" hidden="1" x14ac:dyDescent="0.2">
      <c r="A17" t="s">
        <v>86</v>
      </c>
      <c r="B17" t="s">
        <v>87</v>
      </c>
      <c r="C17" t="s">
        <v>72</v>
      </c>
      <c r="D17">
        <v>0.15</v>
      </c>
      <c r="E17">
        <v>0.14499999999999999</v>
      </c>
      <c r="F17">
        <v>1.0329999999999999</v>
      </c>
      <c r="G17">
        <v>0.30199999999999999</v>
      </c>
      <c r="H17">
        <v>-0.13500000000000001</v>
      </c>
      <c r="I17">
        <v>0.435</v>
      </c>
    </row>
    <row r="18" spans="1:12" hidden="1" x14ac:dyDescent="0.2">
      <c r="A18" t="s">
        <v>86</v>
      </c>
      <c r="B18" t="s">
        <v>87</v>
      </c>
      <c r="C18" t="s">
        <v>73</v>
      </c>
      <c r="D18">
        <v>0.16900000000000001</v>
      </c>
      <c r="E18">
        <v>7.0000000000000007E-2</v>
      </c>
      <c r="F18">
        <v>2.4089999999999998</v>
      </c>
      <c r="G18">
        <v>1.6E-2</v>
      </c>
      <c r="H18">
        <v>3.1E-2</v>
      </c>
      <c r="I18">
        <v>0.30599999999999999</v>
      </c>
      <c r="L18" t="s">
        <v>36</v>
      </c>
    </row>
    <row r="19" spans="1:12" hidden="1" x14ac:dyDescent="0.2">
      <c r="A19" t="s">
        <v>88</v>
      </c>
      <c r="B19" t="s">
        <v>89</v>
      </c>
      <c r="C19" t="s">
        <v>72</v>
      </c>
      <c r="D19">
        <v>0.111</v>
      </c>
      <c r="E19">
        <v>8.6999999999999994E-2</v>
      </c>
      <c r="F19">
        <v>1.2689999999999999</v>
      </c>
      <c r="G19">
        <v>0.20499999999999999</v>
      </c>
      <c r="H19">
        <v>-0.06</v>
      </c>
      <c r="I19">
        <v>0.28199999999999997</v>
      </c>
    </row>
    <row r="20" spans="1:12" hidden="1" x14ac:dyDescent="0.2">
      <c r="A20" t="s">
        <v>88</v>
      </c>
      <c r="B20" t="s">
        <v>89</v>
      </c>
      <c r="C20" t="s">
        <v>73</v>
      </c>
      <c r="D20">
        <v>0.157</v>
      </c>
      <c r="E20">
        <v>6.2E-2</v>
      </c>
      <c r="F20">
        <v>2.5489999999999999</v>
      </c>
      <c r="G20">
        <v>1.0999999999999999E-2</v>
      </c>
      <c r="H20">
        <v>3.5999999999999997E-2</v>
      </c>
      <c r="I20">
        <v>0.27800000000000002</v>
      </c>
      <c r="L20" t="s">
        <v>36</v>
      </c>
    </row>
    <row r="21" spans="1:12" hidden="1" x14ac:dyDescent="0.2">
      <c r="B21" t="s">
        <v>90</v>
      </c>
      <c r="J21" t="s">
        <v>12</v>
      </c>
      <c r="K21" t="s">
        <v>12</v>
      </c>
    </row>
    <row r="22" spans="1:12" hidden="1" x14ac:dyDescent="0.2">
      <c r="A22" t="s">
        <v>71</v>
      </c>
      <c r="B22" t="s">
        <v>22</v>
      </c>
      <c r="C22" t="s">
        <v>72</v>
      </c>
      <c r="D22">
        <v>0.22600000000000001</v>
      </c>
      <c r="E22">
        <v>0.1</v>
      </c>
      <c r="F22">
        <v>2.2629999999999999</v>
      </c>
      <c r="G22">
        <v>2.4E-2</v>
      </c>
      <c r="H22">
        <v>0.03</v>
      </c>
      <c r="I22">
        <v>0.42199999999999999</v>
      </c>
      <c r="L22" t="s">
        <v>36</v>
      </c>
    </row>
    <row r="23" spans="1:12" x14ac:dyDescent="0.2">
      <c r="A23" t="s">
        <v>71</v>
      </c>
      <c r="B23" t="s">
        <v>22</v>
      </c>
      <c r="C23" t="s">
        <v>73</v>
      </c>
      <c r="D23">
        <v>0.20399999999999999</v>
      </c>
      <c r="E23">
        <v>5.8000000000000003E-2</v>
      </c>
      <c r="F23">
        <v>3.51</v>
      </c>
      <c r="G23">
        <v>0</v>
      </c>
      <c r="H23">
        <v>0.09</v>
      </c>
      <c r="I23">
        <v>0.317</v>
      </c>
      <c r="L23" t="s">
        <v>13</v>
      </c>
    </row>
    <row r="24" spans="1:12" x14ac:dyDescent="0.2">
      <c r="A24" t="s">
        <v>74</v>
      </c>
      <c r="B24" t="s">
        <v>91</v>
      </c>
      <c r="C24" t="s">
        <v>72</v>
      </c>
      <c r="D24">
        <v>0.35799999999999998</v>
      </c>
      <c r="E24">
        <v>9.1999999999999998E-2</v>
      </c>
      <c r="F24">
        <v>3.915</v>
      </c>
      <c r="G24">
        <v>0</v>
      </c>
      <c r="H24">
        <v>0.17899999999999999</v>
      </c>
      <c r="I24">
        <v>0.53800000000000003</v>
      </c>
      <c r="L24" t="s">
        <v>13</v>
      </c>
    </row>
    <row r="25" spans="1:12" x14ac:dyDescent="0.2">
      <c r="A25" t="s">
        <v>74</v>
      </c>
      <c r="B25" t="s">
        <v>91</v>
      </c>
      <c r="C25" t="s">
        <v>73</v>
      </c>
      <c r="D25">
        <v>0.29799999999999999</v>
      </c>
      <c r="E25">
        <v>4.5999999999999999E-2</v>
      </c>
      <c r="F25">
        <v>6.5110000000000001</v>
      </c>
      <c r="G25">
        <v>0</v>
      </c>
      <c r="H25">
        <v>0.20799999999999999</v>
      </c>
      <c r="I25">
        <v>0.38700000000000001</v>
      </c>
      <c r="L25" t="s">
        <v>13</v>
      </c>
    </row>
    <row r="26" spans="1:12" hidden="1" x14ac:dyDescent="0.2">
      <c r="A26" t="s">
        <v>76</v>
      </c>
      <c r="B26" t="s">
        <v>92</v>
      </c>
      <c r="C26" t="s">
        <v>72</v>
      </c>
      <c r="D26">
        <v>9.6000000000000002E-2</v>
      </c>
      <c r="E26">
        <v>5.3999999999999999E-2</v>
      </c>
      <c r="F26">
        <v>1.7769999999999999</v>
      </c>
      <c r="G26">
        <v>7.5999999999999998E-2</v>
      </c>
      <c r="H26">
        <v>-0.01</v>
      </c>
      <c r="I26">
        <v>0.20200000000000001</v>
      </c>
    </row>
    <row r="27" spans="1:12" x14ac:dyDescent="0.2">
      <c r="A27" t="s">
        <v>76</v>
      </c>
      <c r="B27" t="s">
        <v>92</v>
      </c>
      <c r="C27" t="s">
        <v>73</v>
      </c>
      <c r="D27">
        <v>0.313</v>
      </c>
      <c r="E27">
        <v>6.9000000000000006E-2</v>
      </c>
      <c r="F27">
        <v>4.51</v>
      </c>
      <c r="G27">
        <v>0</v>
      </c>
      <c r="H27">
        <v>0.17699999999999999</v>
      </c>
      <c r="I27">
        <v>0.44900000000000001</v>
      </c>
      <c r="L27" t="s">
        <v>13</v>
      </c>
    </row>
    <row r="28" spans="1:12" hidden="1" x14ac:dyDescent="0.2">
      <c r="A28" t="s">
        <v>78</v>
      </c>
      <c r="B28" t="s">
        <v>93</v>
      </c>
      <c r="C28" t="s">
        <v>72</v>
      </c>
      <c r="D28">
        <v>0.13200000000000001</v>
      </c>
      <c r="E28">
        <v>6.6000000000000003E-2</v>
      </c>
      <c r="F28">
        <v>2.0089999999999999</v>
      </c>
      <c r="G28">
        <v>4.4999999999999998E-2</v>
      </c>
      <c r="H28">
        <v>3.0000000000000001E-3</v>
      </c>
      <c r="I28">
        <v>0.26100000000000001</v>
      </c>
      <c r="L28" t="s">
        <v>36</v>
      </c>
    </row>
    <row r="29" spans="1:12" x14ac:dyDescent="0.2">
      <c r="A29" t="s">
        <v>78</v>
      </c>
      <c r="B29" t="s">
        <v>93</v>
      </c>
      <c r="C29" t="s">
        <v>73</v>
      </c>
      <c r="D29">
        <v>0.28499999999999998</v>
      </c>
      <c r="E29">
        <v>0.08</v>
      </c>
      <c r="F29">
        <v>3.5590000000000002</v>
      </c>
      <c r="G29">
        <v>0</v>
      </c>
      <c r="H29">
        <v>0.128</v>
      </c>
      <c r="I29">
        <v>0.443</v>
      </c>
      <c r="L29" t="s">
        <v>13</v>
      </c>
    </row>
    <row r="30" spans="1:12" hidden="1" x14ac:dyDescent="0.2">
      <c r="A30" t="s">
        <v>80</v>
      </c>
      <c r="B30" t="s">
        <v>94</v>
      </c>
      <c r="C30" t="s">
        <v>72</v>
      </c>
      <c r="D30">
        <v>0.215</v>
      </c>
      <c r="E30">
        <v>8.5999999999999993E-2</v>
      </c>
      <c r="F30">
        <v>2.4849999999999999</v>
      </c>
      <c r="G30">
        <v>1.2999999999999999E-2</v>
      </c>
      <c r="H30">
        <v>4.4999999999999998E-2</v>
      </c>
      <c r="I30">
        <v>0.38400000000000001</v>
      </c>
      <c r="L30" t="s">
        <v>36</v>
      </c>
    </row>
    <row r="31" spans="1:12" x14ac:dyDescent="0.2">
      <c r="A31" t="s">
        <v>80</v>
      </c>
      <c r="B31" t="s">
        <v>94</v>
      </c>
      <c r="C31" t="s">
        <v>73</v>
      </c>
      <c r="D31">
        <v>0.27400000000000002</v>
      </c>
      <c r="E31">
        <v>4.2000000000000003E-2</v>
      </c>
      <c r="F31">
        <v>6.5339999999999998</v>
      </c>
      <c r="G31">
        <v>0</v>
      </c>
      <c r="H31">
        <v>0.192</v>
      </c>
      <c r="I31">
        <v>0.35699999999999998</v>
      </c>
      <c r="L31" t="s">
        <v>13</v>
      </c>
    </row>
    <row r="32" spans="1:12" hidden="1" x14ac:dyDescent="0.2">
      <c r="A32" t="s">
        <v>82</v>
      </c>
      <c r="B32" t="s">
        <v>95</v>
      </c>
      <c r="C32" t="s">
        <v>72</v>
      </c>
      <c r="D32">
        <v>8.6999999999999994E-2</v>
      </c>
      <c r="E32">
        <v>0.04</v>
      </c>
      <c r="F32">
        <v>2.1709999999999998</v>
      </c>
      <c r="G32">
        <v>0.03</v>
      </c>
      <c r="H32">
        <v>8.0000000000000002E-3</v>
      </c>
      <c r="I32">
        <v>0.16500000000000001</v>
      </c>
      <c r="L32" t="s">
        <v>36</v>
      </c>
    </row>
    <row r="33" spans="1:12" hidden="1" x14ac:dyDescent="0.2">
      <c r="A33" t="s">
        <v>82</v>
      </c>
      <c r="B33" t="s">
        <v>95</v>
      </c>
      <c r="C33" t="s">
        <v>73</v>
      </c>
      <c r="D33">
        <v>0.27100000000000002</v>
      </c>
      <c r="E33">
        <v>8.1000000000000003E-2</v>
      </c>
      <c r="F33">
        <v>3.34</v>
      </c>
      <c r="G33">
        <v>1E-3</v>
      </c>
      <c r="H33">
        <v>0.112</v>
      </c>
      <c r="I33">
        <v>0.43</v>
      </c>
      <c r="L33" t="s">
        <v>18</v>
      </c>
    </row>
    <row r="34" spans="1:12" hidden="1" x14ac:dyDescent="0.2">
      <c r="A34" t="s">
        <v>84</v>
      </c>
      <c r="B34" t="s">
        <v>96</v>
      </c>
      <c r="C34" t="s">
        <v>72</v>
      </c>
      <c r="D34">
        <v>0.17100000000000001</v>
      </c>
      <c r="E34">
        <v>5.8999999999999997E-2</v>
      </c>
      <c r="F34">
        <v>2.8969999999999998</v>
      </c>
      <c r="G34">
        <v>4.0000000000000001E-3</v>
      </c>
      <c r="H34">
        <v>5.5E-2</v>
      </c>
      <c r="I34">
        <v>0.28599999999999998</v>
      </c>
      <c r="L34" t="s">
        <v>18</v>
      </c>
    </row>
    <row r="35" spans="1:12" x14ac:dyDescent="0.2">
      <c r="A35" t="s">
        <v>84</v>
      </c>
      <c r="B35" t="s">
        <v>96</v>
      </c>
      <c r="C35" t="s">
        <v>73</v>
      </c>
      <c r="D35">
        <v>0.34499999999999997</v>
      </c>
      <c r="E35">
        <v>4.7E-2</v>
      </c>
      <c r="F35">
        <v>7.2619999999999996</v>
      </c>
      <c r="G35">
        <v>0</v>
      </c>
      <c r="H35">
        <v>0.252</v>
      </c>
      <c r="I35">
        <v>0.438</v>
      </c>
      <c r="L35" t="s">
        <v>13</v>
      </c>
    </row>
    <row r="36" spans="1:12" hidden="1" x14ac:dyDescent="0.2">
      <c r="A36" t="s">
        <v>86</v>
      </c>
      <c r="B36" t="s">
        <v>97</v>
      </c>
      <c r="C36" t="s">
        <v>72</v>
      </c>
      <c r="D36">
        <v>8.4000000000000005E-2</v>
      </c>
      <c r="E36">
        <v>4.5999999999999999E-2</v>
      </c>
      <c r="F36">
        <v>1.8220000000000001</v>
      </c>
      <c r="G36">
        <v>6.8000000000000005E-2</v>
      </c>
      <c r="H36">
        <v>-6.0000000000000001E-3</v>
      </c>
      <c r="I36">
        <v>0.17499999999999999</v>
      </c>
    </row>
    <row r="37" spans="1:12" x14ac:dyDescent="0.2">
      <c r="A37" t="s">
        <v>86</v>
      </c>
      <c r="B37" t="s">
        <v>97</v>
      </c>
      <c r="C37" t="s">
        <v>73</v>
      </c>
      <c r="D37">
        <v>0.29099999999999998</v>
      </c>
      <c r="E37">
        <v>5.0999999999999997E-2</v>
      </c>
      <c r="F37">
        <v>5.6929999999999996</v>
      </c>
      <c r="G37">
        <v>0</v>
      </c>
      <c r="H37">
        <v>0.191</v>
      </c>
      <c r="I37">
        <v>0.39200000000000002</v>
      </c>
      <c r="L37" t="s">
        <v>13</v>
      </c>
    </row>
    <row r="38" spans="1:12" hidden="1" x14ac:dyDescent="0.2">
      <c r="A38" t="s">
        <v>88</v>
      </c>
      <c r="B38" t="s">
        <v>98</v>
      </c>
      <c r="C38" t="s">
        <v>72</v>
      </c>
      <c r="D38">
        <v>6.2E-2</v>
      </c>
      <c r="E38">
        <v>5.0999999999999997E-2</v>
      </c>
      <c r="F38">
        <v>1.226</v>
      </c>
      <c r="G38">
        <v>0.22</v>
      </c>
      <c r="H38">
        <v>-3.6999999999999998E-2</v>
      </c>
      <c r="I38">
        <v>0.161</v>
      </c>
    </row>
    <row r="39" spans="1:12" x14ac:dyDescent="0.2">
      <c r="A39" t="s">
        <v>88</v>
      </c>
      <c r="B39" t="s">
        <v>98</v>
      </c>
      <c r="C39" t="s">
        <v>73</v>
      </c>
      <c r="D39">
        <v>0.40300000000000002</v>
      </c>
      <c r="E39">
        <v>5.7000000000000002E-2</v>
      </c>
      <c r="F39">
        <v>7.1</v>
      </c>
      <c r="G39">
        <v>0</v>
      </c>
      <c r="H39">
        <v>0.29199999999999998</v>
      </c>
      <c r="I39">
        <v>0.51500000000000001</v>
      </c>
      <c r="L39" t="s">
        <v>13</v>
      </c>
    </row>
    <row r="40" spans="1:12" hidden="1" x14ac:dyDescent="0.2">
      <c r="B40" t="s">
        <v>99</v>
      </c>
      <c r="J40" t="s">
        <v>12</v>
      </c>
      <c r="K40" t="s">
        <v>100</v>
      </c>
    </row>
    <row r="41" spans="1:12" hidden="1" x14ac:dyDescent="0.2">
      <c r="B41" t="s">
        <v>101</v>
      </c>
      <c r="J41" t="s">
        <v>70</v>
      </c>
      <c r="K41" t="s">
        <v>102</v>
      </c>
    </row>
    <row r="42" spans="1:12" hidden="1" x14ac:dyDescent="0.2">
      <c r="A42" t="s">
        <v>71</v>
      </c>
      <c r="B42" t="s">
        <v>103</v>
      </c>
      <c r="C42" t="s">
        <v>72</v>
      </c>
      <c r="D42">
        <v>0.99299999999999999</v>
      </c>
      <c r="E42">
        <v>0</v>
      </c>
      <c r="F42">
        <v>2428.3760000000002</v>
      </c>
      <c r="G42">
        <v>0</v>
      </c>
      <c r="H42">
        <v>0.99299999999999999</v>
      </c>
      <c r="I42">
        <v>0.99399999999999999</v>
      </c>
      <c r="L42" t="s">
        <v>13</v>
      </c>
    </row>
    <row r="43" spans="1:12" hidden="1" x14ac:dyDescent="0.2">
      <c r="A43" t="s">
        <v>71</v>
      </c>
      <c r="B43" t="s">
        <v>103</v>
      </c>
      <c r="C43" t="s">
        <v>73</v>
      </c>
      <c r="D43">
        <v>0.30599999999999999</v>
      </c>
      <c r="E43">
        <v>0.06</v>
      </c>
      <c r="F43">
        <v>5.141</v>
      </c>
      <c r="G43">
        <v>0</v>
      </c>
      <c r="H43">
        <v>0.189</v>
      </c>
      <c r="I43">
        <v>0.42299999999999999</v>
      </c>
      <c r="L43" t="s">
        <v>13</v>
      </c>
    </row>
    <row r="44" spans="1:12" hidden="1" x14ac:dyDescent="0.2">
      <c r="A44" t="s">
        <v>74</v>
      </c>
      <c r="B44" t="s">
        <v>104</v>
      </c>
      <c r="C44" t="s">
        <v>72</v>
      </c>
      <c r="D44">
        <v>-0.28000000000000003</v>
      </c>
      <c r="E44">
        <v>1.0999999999999999E-2</v>
      </c>
      <c r="F44">
        <v>-25.466999999999999</v>
      </c>
      <c r="G44">
        <v>0</v>
      </c>
      <c r="H44">
        <v>-0.30199999999999999</v>
      </c>
      <c r="I44">
        <v>-0.25900000000000001</v>
      </c>
      <c r="L44" t="s">
        <v>13</v>
      </c>
    </row>
    <row r="45" spans="1:12" hidden="1" x14ac:dyDescent="0.2">
      <c r="A45" t="s">
        <v>74</v>
      </c>
      <c r="B45" t="s">
        <v>104</v>
      </c>
      <c r="C45" t="s">
        <v>73</v>
      </c>
      <c r="D45">
        <v>0.64500000000000002</v>
      </c>
      <c r="E45">
        <v>0.03</v>
      </c>
      <c r="F45">
        <v>21.282</v>
      </c>
      <c r="G45">
        <v>0</v>
      </c>
      <c r="H45">
        <v>0.58599999999999997</v>
      </c>
      <c r="I45">
        <v>0.70499999999999996</v>
      </c>
      <c r="L45" t="s">
        <v>13</v>
      </c>
    </row>
    <row r="46" spans="1:12" hidden="1" x14ac:dyDescent="0.2">
      <c r="A46" t="s">
        <v>76</v>
      </c>
      <c r="B46" t="s">
        <v>105</v>
      </c>
      <c r="C46" t="s">
        <v>72</v>
      </c>
      <c r="D46">
        <v>0.628</v>
      </c>
      <c r="E46">
        <v>1.7999999999999999E-2</v>
      </c>
      <c r="F46">
        <v>35.168999999999997</v>
      </c>
      <c r="G46">
        <v>0</v>
      </c>
      <c r="H46">
        <v>0.59299999999999997</v>
      </c>
      <c r="I46">
        <v>0.66300000000000003</v>
      </c>
      <c r="L46" t="s">
        <v>13</v>
      </c>
    </row>
    <row r="47" spans="1:12" hidden="1" x14ac:dyDescent="0.2">
      <c r="A47" t="s">
        <v>76</v>
      </c>
      <c r="B47" t="s">
        <v>105</v>
      </c>
      <c r="C47" t="s">
        <v>73</v>
      </c>
      <c r="D47">
        <v>0.72</v>
      </c>
      <c r="E47">
        <v>2.4E-2</v>
      </c>
      <c r="F47">
        <v>29.454000000000001</v>
      </c>
      <c r="G47">
        <v>0</v>
      </c>
      <c r="H47">
        <v>0.67200000000000004</v>
      </c>
      <c r="I47">
        <v>0.76700000000000002</v>
      </c>
      <c r="L47" t="s">
        <v>13</v>
      </c>
    </row>
    <row r="48" spans="1:12" hidden="1" x14ac:dyDescent="0.2">
      <c r="A48" t="s">
        <v>78</v>
      </c>
      <c r="B48" t="s">
        <v>106</v>
      </c>
      <c r="C48" t="s">
        <v>72</v>
      </c>
      <c r="D48">
        <v>-0.53200000000000003</v>
      </c>
      <c r="E48">
        <v>1.9E-2</v>
      </c>
      <c r="F48">
        <v>-27.716999999999999</v>
      </c>
      <c r="G48">
        <v>0</v>
      </c>
      <c r="H48">
        <v>-0.56999999999999995</v>
      </c>
      <c r="I48">
        <v>-0.495</v>
      </c>
      <c r="L48" t="s">
        <v>13</v>
      </c>
    </row>
    <row r="49" spans="1:12" hidden="1" x14ac:dyDescent="0.2">
      <c r="A49" t="s">
        <v>78</v>
      </c>
      <c r="B49" t="s">
        <v>106</v>
      </c>
      <c r="C49" t="s">
        <v>73</v>
      </c>
      <c r="D49">
        <v>0.75600000000000001</v>
      </c>
      <c r="E49">
        <v>2.3E-2</v>
      </c>
      <c r="F49">
        <v>33.110999999999997</v>
      </c>
      <c r="G49">
        <v>0</v>
      </c>
      <c r="H49">
        <v>0.71099999999999997</v>
      </c>
      <c r="I49">
        <v>0.80100000000000005</v>
      </c>
      <c r="L49" t="s">
        <v>13</v>
      </c>
    </row>
    <row r="50" spans="1:12" hidden="1" x14ac:dyDescent="0.2">
      <c r="A50" t="s">
        <v>80</v>
      </c>
      <c r="B50" t="s">
        <v>107</v>
      </c>
      <c r="C50" t="s">
        <v>72</v>
      </c>
      <c r="D50">
        <v>-0.28100000000000003</v>
      </c>
      <c r="E50">
        <v>1.4E-2</v>
      </c>
      <c r="F50">
        <v>-20.047000000000001</v>
      </c>
      <c r="G50">
        <v>0</v>
      </c>
      <c r="H50">
        <v>-0.308</v>
      </c>
      <c r="I50">
        <v>-0.254</v>
      </c>
      <c r="L50" t="s">
        <v>13</v>
      </c>
    </row>
    <row r="51" spans="1:12" hidden="1" x14ac:dyDescent="0.2">
      <c r="A51" t="s">
        <v>80</v>
      </c>
      <c r="B51" t="s">
        <v>107</v>
      </c>
      <c r="C51" t="s">
        <v>73</v>
      </c>
      <c r="D51">
        <v>0.68300000000000005</v>
      </c>
      <c r="E51">
        <v>0.03</v>
      </c>
      <c r="F51">
        <v>22.829000000000001</v>
      </c>
      <c r="G51">
        <v>0</v>
      </c>
      <c r="H51">
        <v>0.624</v>
      </c>
      <c r="I51">
        <v>0.74099999999999999</v>
      </c>
      <c r="L51" t="s">
        <v>13</v>
      </c>
    </row>
    <row r="52" spans="1:12" hidden="1" x14ac:dyDescent="0.2">
      <c r="A52" t="s">
        <v>82</v>
      </c>
      <c r="B52" t="s">
        <v>108</v>
      </c>
      <c r="C52" t="s">
        <v>72</v>
      </c>
      <c r="D52">
        <v>-0.17899999999999999</v>
      </c>
      <c r="E52">
        <v>8.0000000000000002E-3</v>
      </c>
      <c r="F52">
        <v>-21.425000000000001</v>
      </c>
      <c r="G52">
        <v>0</v>
      </c>
      <c r="H52">
        <v>-0.19500000000000001</v>
      </c>
      <c r="I52">
        <v>-0.16300000000000001</v>
      </c>
      <c r="L52" t="s">
        <v>13</v>
      </c>
    </row>
    <row r="53" spans="1:12" hidden="1" x14ac:dyDescent="0.2">
      <c r="A53" t="s">
        <v>82</v>
      </c>
      <c r="B53" t="s">
        <v>108</v>
      </c>
      <c r="C53" t="s">
        <v>73</v>
      </c>
      <c r="D53">
        <v>0.77600000000000002</v>
      </c>
      <c r="E53">
        <v>2.1000000000000001E-2</v>
      </c>
      <c r="F53">
        <v>36.624000000000002</v>
      </c>
      <c r="G53">
        <v>0</v>
      </c>
      <c r="H53">
        <v>0.73399999999999999</v>
      </c>
      <c r="I53">
        <v>0.81699999999999995</v>
      </c>
      <c r="L53" t="s">
        <v>13</v>
      </c>
    </row>
    <row r="54" spans="1:12" hidden="1" x14ac:dyDescent="0.2">
      <c r="A54" t="s">
        <v>84</v>
      </c>
      <c r="B54" t="s">
        <v>109</v>
      </c>
      <c r="C54" t="s">
        <v>72</v>
      </c>
      <c r="D54">
        <v>-0.621</v>
      </c>
      <c r="E54">
        <v>1.6E-2</v>
      </c>
      <c r="F54">
        <v>-38.168999999999997</v>
      </c>
      <c r="G54">
        <v>0</v>
      </c>
      <c r="H54">
        <v>-0.65300000000000002</v>
      </c>
      <c r="I54">
        <v>-0.58899999999999997</v>
      </c>
      <c r="L54" t="s">
        <v>13</v>
      </c>
    </row>
    <row r="55" spans="1:12" hidden="1" x14ac:dyDescent="0.2">
      <c r="A55" t="s">
        <v>84</v>
      </c>
      <c r="B55" t="s">
        <v>109</v>
      </c>
      <c r="C55" t="s">
        <v>73</v>
      </c>
      <c r="D55">
        <v>0.69599999999999995</v>
      </c>
      <c r="E55">
        <v>2.5999999999999999E-2</v>
      </c>
      <c r="F55">
        <v>26.969000000000001</v>
      </c>
      <c r="G55">
        <v>0</v>
      </c>
      <c r="H55">
        <v>0.64600000000000002</v>
      </c>
      <c r="I55">
        <v>0.747</v>
      </c>
      <c r="L55" t="s">
        <v>13</v>
      </c>
    </row>
    <row r="56" spans="1:12" hidden="1" x14ac:dyDescent="0.2">
      <c r="A56" t="s">
        <v>86</v>
      </c>
      <c r="B56" t="s">
        <v>110</v>
      </c>
      <c r="C56" t="s">
        <v>72</v>
      </c>
      <c r="D56">
        <v>-0.93799999999999994</v>
      </c>
      <c r="E56">
        <v>4.0000000000000001E-3</v>
      </c>
      <c r="F56">
        <v>-210.01900000000001</v>
      </c>
      <c r="G56">
        <v>0</v>
      </c>
      <c r="H56">
        <v>-0.94699999999999995</v>
      </c>
      <c r="I56">
        <v>-0.92900000000000005</v>
      </c>
      <c r="L56" t="s">
        <v>13</v>
      </c>
    </row>
    <row r="57" spans="1:12" hidden="1" x14ac:dyDescent="0.2">
      <c r="A57" t="s">
        <v>86</v>
      </c>
      <c r="B57" t="s">
        <v>110</v>
      </c>
      <c r="C57" t="s">
        <v>73</v>
      </c>
      <c r="D57">
        <v>0.746</v>
      </c>
      <c r="E57">
        <v>2.1999999999999999E-2</v>
      </c>
      <c r="F57">
        <v>33.966999999999999</v>
      </c>
      <c r="G57">
        <v>0</v>
      </c>
      <c r="H57">
        <v>0.70299999999999996</v>
      </c>
      <c r="I57">
        <v>0.78900000000000003</v>
      </c>
      <c r="L57" t="s">
        <v>13</v>
      </c>
    </row>
    <row r="58" spans="1:12" hidden="1" x14ac:dyDescent="0.2">
      <c r="A58" t="s">
        <v>88</v>
      </c>
      <c r="B58" t="s">
        <v>111</v>
      </c>
      <c r="C58" t="s">
        <v>72</v>
      </c>
      <c r="D58">
        <v>-0.78700000000000003</v>
      </c>
      <c r="E58">
        <v>1.4E-2</v>
      </c>
      <c r="F58">
        <v>-54.404000000000003</v>
      </c>
      <c r="G58">
        <v>0</v>
      </c>
      <c r="H58">
        <v>-0.81599999999999995</v>
      </c>
      <c r="I58">
        <v>-0.75900000000000001</v>
      </c>
      <c r="L58" t="s">
        <v>13</v>
      </c>
    </row>
    <row r="59" spans="1:12" hidden="1" x14ac:dyDescent="0.2">
      <c r="A59" t="s">
        <v>88</v>
      </c>
      <c r="B59" t="s">
        <v>111</v>
      </c>
      <c r="C59" t="s">
        <v>73</v>
      </c>
      <c r="D59">
        <v>0.748</v>
      </c>
      <c r="E59">
        <v>2.1999999999999999E-2</v>
      </c>
      <c r="F59">
        <v>34.381</v>
      </c>
      <c r="G59">
        <v>0</v>
      </c>
      <c r="H59">
        <v>0.70499999999999996</v>
      </c>
      <c r="I59">
        <v>0.79100000000000004</v>
      </c>
      <c r="L59" t="s">
        <v>13</v>
      </c>
    </row>
    <row r="60" spans="1:12" hidden="1" x14ac:dyDescent="0.2">
      <c r="B60" t="s">
        <v>112</v>
      </c>
      <c r="J60" t="s">
        <v>12</v>
      </c>
      <c r="K60" t="s">
        <v>12</v>
      </c>
    </row>
    <row r="61" spans="1:12" x14ac:dyDescent="0.2">
      <c r="A61" t="s">
        <v>71</v>
      </c>
      <c r="B61" t="s">
        <v>31</v>
      </c>
      <c r="C61" t="s">
        <v>72</v>
      </c>
      <c r="D61">
        <v>0.312</v>
      </c>
      <c r="E61">
        <v>7.9000000000000001E-2</v>
      </c>
      <c r="F61">
        <v>3.9630000000000001</v>
      </c>
      <c r="G61">
        <v>0</v>
      </c>
      <c r="H61">
        <v>0.158</v>
      </c>
      <c r="I61">
        <v>0.46600000000000003</v>
      </c>
      <c r="L61" t="s">
        <v>13</v>
      </c>
    </row>
    <row r="62" spans="1:12" x14ac:dyDescent="0.2">
      <c r="A62" t="s">
        <v>71</v>
      </c>
      <c r="B62" t="s">
        <v>31</v>
      </c>
      <c r="C62" t="s">
        <v>73</v>
      </c>
      <c r="D62">
        <v>0.27900000000000003</v>
      </c>
      <c r="E62">
        <v>5.2999999999999999E-2</v>
      </c>
      <c r="F62">
        <v>5.32</v>
      </c>
      <c r="G62">
        <v>0</v>
      </c>
      <c r="H62">
        <v>0.17699999999999999</v>
      </c>
      <c r="I62">
        <v>0.38200000000000001</v>
      </c>
      <c r="L62" t="s">
        <v>13</v>
      </c>
    </row>
    <row r="63" spans="1:12" hidden="1" x14ac:dyDescent="0.2">
      <c r="A63" t="s">
        <v>74</v>
      </c>
      <c r="B63" t="s">
        <v>113</v>
      </c>
      <c r="C63" t="s">
        <v>72</v>
      </c>
      <c r="D63">
        <v>0.14499999999999999</v>
      </c>
      <c r="E63">
        <v>8.8999999999999996E-2</v>
      </c>
      <c r="F63">
        <v>1.631</v>
      </c>
      <c r="G63">
        <v>0.10299999999999999</v>
      </c>
      <c r="H63">
        <v>-2.9000000000000001E-2</v>
      </c>
      <c r="I63">
        <v>0.31900000000000001</v>
      </c>
    </row>
    <row r="64" spans="1:12" x14ac:dyDescent="0.2">
      <c r="A64" t="s">
        <v>74</v>
      </c>
      <c r="B64" t="s">
        <v>113</v>
      </c>
      <c r="C64" t="s">
        <v>73</v>
      </c>
      <c r="D64">
        <v>0.29199999999999998</v>
      </c>
      <c r="E64">
        <v>0.06</v>
      </c>
      <c r="F64">
        <v>4.851</v>
      </c>
      <c r="G64">
        <v>0</v>
      </c>
      <c r="H64">
        <v>0.17399999999999999</v>
      </c>
      <c r="I64">
        <v>0.41</v>
      </c>
      <c r="L64" t="s">
        <v>13</v>
      </c>
    </row>
    <row r="65" spans="1:12" hidden="1" x14ac:dyDescent="0.2">
      <c r="A65" t="s">
        <v>76</v>
      </c>
      <c r="B65" t="s">
        <v>114</v>
      </c>
      <c r="C65" t="s">
        <v>72</v>
      </c>
      <c r="D65">
        <v>4.8000000000000001E-2</v>
      </c>
      <c r="E65">
        <v>2.3E-2</v>
      </c>
      <c r="F65">
        <v>2.0699999999999998</v>
      </c>
      <c r="G65">
        <v>3.7999999999999999E-2</v>
      </c>
      <c r="H65">
        <v>3.0000000000000001E-3</v>
      </c>
      <c r="I65">
        <v>9.2999999999999999E-2</v>
      </c>
      <c r="L65" t="s">
        <v>36</v>
      </c>
    </row>
    <row r="66" spans="1:12" x14ac:dyDescent="0.2">
      <c r="A66" t="s">
        <v>76</v>
      </c>
      <c r="B66" t="s">
        <v>114</v>
      </c>
      <c r="C66" t="s">
        <v>73</v>
      </c>
      <c r="D66">
        <v>0.41</v>
      </c>
      <c r="E66">
        <v>6.4000000000000001E-2</v>
      </c>
      <c r="F66">
        <v>6.431</v>
      </c>
      <c r="G66">
        <v>0</v>
      </c>
      <c r="H66">
        <v>0.28499999999999998</v>
      </c>
      <c r="I66">
        <v>0.53500000000000003</v>
      </c>
      <c r="L66" t="s">
        <v>13</v>
      </c>
    </row>
    <row r="67" spans="1:12" hidden="1" x14ac:dyDescent="0.2">
      <c r="A67" t="s">
        <v>78</v>
      </c>
      <c r="B67" t="s">
        <v>115</v>
      </c>
      <c r="C67" t="s">
        <v>72</v>
      </c>
      <c r="D67">
        <v>5.8000000000000003E-2</v>
      </c>
      <c r="E67">
        <v>3.3000000000000002E-2</v>
      </c>
      <c r="F67">
        <v>1.752</v>
      </c>
      <c r="G67">
        <v>0.08</v>
      </c>
      <c r="H67">
        <v>-7.0000000000000001E-3</v>
      </c>
      <c r="I67">
        <v>0.123</v>
      </c>
    </row>
    <row r="68" spans="1:12" x14ac:dyDescent="0.2">
      <c r="A68" t="s">
        <v>78</v>
      </c>
      <c r="B68" t="s">
        <v>115</v>
      </c>
      <c r="C68" t="s">
        <v>73</v>
      </c>
      <c r="D68">
        <v>0.45900000000000002</v>
      </c>
      <c r="E68">
        <v>6.6000000000000003E-2</v>
      </c>
      <c r="F68">
        <v>6.9320000000000004</v>
      </c>
      <c r="G68">
        <v>0</v>
      </c>
      <c r="H68">
        <v>0.32900000000000001</v>
      </c>
      <c r="I68">
        <v>0.58899999999999997</v>
      </c>
      <c r="L68" t="s">
        <v>13</v>
      </c>
    </row>
    <row r="69" spans="1:12" hidden="1" x14ac:dyDescent="0.2">
      <c r="A69" t="s">
        <v>80</v>
      </c>
      <c r="B69" t="s">
        <v>116</v>
      </c>
      <c r="C69" t="s">
        <v>72</v>
      </c>
      <c r="D69">
        <v>0.10299999999999999</v>
      </c>
      <c r="E69">
        <v>4.7E-2</v>
      </c>
      <c r="F69">
        <v>2.1949999999999998</v>
      </c>
      <c r="G69">
        <v>2.8000000000000001E-2</v>
      </c>
      <c r="H69">
        <v>1.0999999999999999E-2</v>
      </c>
      <c r="I69">
        <v>0.19400000000000001</v>
      </c>
      <c r="L69" t="s">
        <v>36</v>
      </c>
    </row>
    <row r="70" spans="1:12" x14ac:dyDescent="0.2">
      <c r="A70" t="s">
        <v>80</v>
      </c>
      <c r="B70" t="s">
        <v>116</v>
      </c>
      <c r="C70" t="s">
        <v>73</v>
      </c>
      <c r="D70">
        <v>0.36199999999999999</v>
      </c>
      <c r="E70">
        <v>5.3999999999999999E-2</v>
      </c>
      <c r="F70">
        <v>6.734</v>
      </c>
      <c r="G70">
        <v>0</v>
      </c>
      <c r="H70">
        <v>0.25700000000000001</v>
      </c>
      <c r="I70">
        <v>0.46700000000000003</v>
      </c>
      <c r="L70" t="s">
        <v>13</v>
      </c>
    </row>
    <row r="71" spans="1:12" hidden="1" x14ac:dyDescent="0.2">
      <c r="A71" t="s">
        <v>82</v>
      </c>
      <c r="B71" t="s">
        <v>117</v>
      </c>
      <c r="C71" t="s">
        <v>72</v>
      </c>
      <c r="D71">
        <v>6.0999999999999999E-2</v>
      </c>
      <c r="E71">
        <v>3.6999999999999998E-2</v>
      </c>
      <c r="F71">
        <v>1.667</v>
      </c>
      <c r="G71">
        <v>9.6000000000000002E-2</v>
      </c>
      <c r="H71">
        <v>-1.0999999999999999E-2</v>
      </c>
      <c r="I71">
        <v>0.13200000000000001</v>
      </c>
    </row>
    <row r="72" spans="1:12" x14ac:dyDescent="0.2">
      <c r="A72" t="s">
        <v>82</v>
      </c>
      <c r="B72" t="s">
        <v>117</v>
      </c>
      <c r="C72" t="s">
        <v>73</v>
      </c>
      <c r="D72">
        <v>0.39600000000000002</v>
      </c>
      <c r="E72">
        <v>7.0999999999999994E-2</v>
      </c>
      <c r="F72">
        <v>5.5720000000000001</v>
      </c>
      <c r="G72">
        <v>0</v>
      </c>
      <c r="H72">
        <v>0.25700000000000001</v>
      </c>
      <c r="I72">
        <v>0.53600000000000003</v>
      </c>
      <c r="L72" t="s">
        <v>13</v>
      </c>
    </row>
    <row r="73" spans="1:12" hidden="1" x14ac:dyDescent="0.2">
      <c r="A73" t="s">
        <v>84</v>
      </c>
      <c r="B73" t="s">
        <v>118</v>
      </c>
      <c r="C73" t="s">
        <v>72</v>
      </c>
      <c r="D73">
        <v>0.14799999999999999</v>
      </c>
      <c r="E73">
        <v>5.1999999999999998E-2</v>
      </c>
      <c r="F73">
        <v>2.8140000000000001</v>
      </c>
      <c r="G73">
        <v>5.0000000000000001E-3</v>
      </c>
      <c r="H73">
        <v>4.4999999999999998E-2</v>
      </c>
      <c r="I73">
        <v>0.25</v>
      </c>
      <c r="L73" t="s">
        <v>18</v>
      </c>
    </row>
    <row r="74" spans="1:12" x14ac:dyDescent="0.2">
      <c r="A74" t="s">
        <v>84</v>
      </c>
      <c r="B74" t="s">
        <v>118</v>
      </c>
      <c r="C74" t="s">
        <v>73</v>
      </c>
      <c r="D74">
        <v>0.38100000000000001</v>
      </c>
      <c r="E74">
        <v>0.06</v>
      </c>
      <c r="F74">
        <v>6.3209999999999997</v>
      </c>
      <c r="G74">
        <v>0</v>
      </c>
      <c r="H74">
        <v>0.26300000000000001</v>
      </c>
      <c r="I74">
        <v>0.499</v>
      </c>
      <c r="L74" t="s">
        <v>13</v>
      </c>
    </row>
    <row r="75" spans="1:12" hidden="1" x14ac:dyDescent="0.2">
      <c r="A75" t="s">
        <v>86</v>
      </c>
      <c r="B75" t="s">
        <v>119</v>
      </c>
      <c r="C75" t="s">
        <v>72</v>
      </c>
      <c r="D75">
        <v>5.3999999999999999E-2</v>
      </c>
      <c r="E75">
        <v>3.3000000000000002E-2</v>
      </c>
      <c r="F75">
        <v>1.623</v>
      </c>
      <c r="G75">
        <v>0.105</v>
      </c>
      <c r="H75">
        <v>-1.0999999999999999E-2</v>
      </c>
      <c r="I75">
        <v>0.12</v>
      </c>
    </row>
    <row r="76" spans="1:12" x14ac:dyDescent="0.2">
      <c r="A76" t="s">
        <v>86</v>
      </c>
      <c r="B76" t="s">
        <v>119</v>
      </c>
      <c r="C76" t="s">
        <v>73</v>
      </c>
      <c r="D76">
        <v>0.442</v>
      </c>
      <c r="E76">
        <v>5.8999999999999997E-2</v>
      </c>
      <c r="F76">
        <v>7.4550000000000001</v>
      </c>
      <c r="G76">
        <v>0</v>
      </c>
      <c r="H76">
        <v>0.32600000000000001</v>
      </c>
      <c r="I76">
        <v>0.55800000000000005</v>
      </c>
      <c r="L76" t="s">
        <v>13</v>
      </c>
    </row>
    <row r="77" spans="1:12" hidden="1" x14ac:dyDescent="0.2">
      <c r="A77" t="s">
        <v>88</v>
      </c>
      <c r="B77" t="s">
        <v>120</v>
      </c>
      <c r="C77" t="s">
        <v>72</v>
      </c>
      <c r="D77">
        <v>7.9000000000000001E-2</v>
      </c>
      <c r="E77">
        <v>3.6999999999999998E-2</v>
      </c>
      <c r="F77">
        <v>2.133</v>
      </c>
      <c r="G77">
        <v>3.3000000000000002E-2</v>
      </c>
      <c r="H77">
        <v>6.0000000000000001E-3</v>
      </c>
      <c r="I77">
        <v>0.151</v>
      </c>
      <c r="L77" t="s">
        <v>36</v>
      </c>
    </row>
    <row r="78" spans="1:12" x14ac:dyDescent="0.2">
      <c r="A78" t="s">
        <v>88</v>
      </c>
      <c r="B78" t="s">
        <v>120</v>
      </c>
      <c r="C78" t="s">
        <v>73</v>
      </c>
      <c r="D78">
        <v>0.46300000000000002</v>
      </c>
      <c r="E78">
        <v>6.5000000000000002E-2</v>
      </c>
      <c r="F78">
        <v>7.0910000000000002</v>
      </c>
      <c r="G78">
        <v>0</v>
      </c>
      <c r="H78">
        <v>0.33500000000000002</v>
      </c>
      <c r="I78">
        <v>0.59199999999999997</v>
      </c>
      <c r="L78" t="s">
        <v>13</v>
      </c>
    </row>
    <row r="79" spans="1:12" hidden="1" x14ac:dyDescent="0.2">
      <c r="B79" t="s">
        <v>121</v>
      </c>
      <c r="J79" t="s">
        <v>12</v>
      </c>
      <c r="K79" t="s">
        <v>12</v>
      </c>
    </row>
    <row r="80" spans="1:12" hidden="1" x14ac:dyDescent="0.2">
      <c r="A80" t="s">
        <v>71</v>
      </c>
      <c r="B80" t="s">
        <v>33</v>
      </c>
      <c r="C80" t="s">
        <v>72</v>
      </c>
      <c r="D80">
        <v>-0.30099999999999999</v>
      </c>
      <c r="E80">
        <v>0.10199999999999999</v>
      </c>
      <c r="F80">
        <v>-2.9420000000000002</v>
      </c>
      <c r="G80">
        <v>3.0000000000000001E-3</v>
      </c>
      <c r="H80">
        <v>-0.502</v>
      </c>
      <c r="I80">
        <v>-0.10100000000000001</v>
      </c>
      <c r="L80" t="s">
        <v>18</v>
      </c>
    </row>
    <row r="81" spans="1:12" hidden="1" x14ac:dyDescent="0.2">
      <c r="A81" t="s">
        <v>71</v>
      </c>
      <c r="B81" t="s">
        <v>33</v>
      </c>
      <c r="C81" t="s">
        <v>73</v>
      </c>
      <c r="D81">
        <v>-0.13</v>
      </c>
      <c r="E81">
        <v>6.6000000000000003E-2</v>
      </c>
      <c r="F81">
        <v>-1.972</v>
      </c>
      <c r="G81">
        <v>4.9000000000000002E-2</v>
      </c>
      <c r="H81">
        <v>-0.25900000000000001</v>
      </c>
      <c r="I81">
        <v>-1E-3</v>
      </c>
      <c r="L81" t="s">
        <v>36</v>
      </c>
    </row>
    <row r="82" spans="1:12" hidden="1" x14ac:dyDescent="0.2">
      <c r="A82" t="s">
        <v>76</v>
      </c>
      <c r="B82" t="s">
        <v>122</v>
      </c>
      <c r="C82" t="s">
        <v>72</v>
      </c>
      <c r="D82">
        <v>-6.8000000000000005E-2</v>
      </c>
      <c r="E82">
        <v>3.2000000000000001E-2</v>
      </c>
      <c r="F82">
        <v>-2.093</v>
      </c>
      <c r="G82">
        <v>3.5999999999999997E-2</v>
      </c>
      <c r="H82">
        <v>-0.13100000000000001</v>
      </c>
      <c r="I82">
        <v>-4.0000000000000001E-3</v>
      </c>
      <c r="L82" t="s">
        <v>36</v>
      </c>
    </row>
    <row r="83" spans="1:12" x14ac:dyDescent="0.2">
      <c r="A83" t="s">
        <v>76</v>
      </c>
      <c r="B83" t="s">
        <v>122</v>
      </c>
      <c r="C83" t="s">
        <v>73</v>
      </c>
      <c r="D83">
        <v>-0.55100000000000005</v>
      </c>
      <c r="E83">
        <v>0.08</v>
      </c>
      <c r="F83">
        <v>-6.915</v>
      </c>
      <c r="G83">
        <v>0</v>
      </c>
      <c r="H83">
        <v>-0.70699999999999996</v>
      </c>
      <c r="I83">
        <v>-0.39500000000000002</v>
      </c>
      <c r="L83" t="s">
        <v>13</v>
      </c>
    </row>
    <row r="84" spans="1:12" hidden="1" x14ac:dyDescent="0.2">
      <c r="A84" t="s">
        <v>82</v>
      </c>
      <c r="B84" t="s">
        <v>123</v>
      </c>
      <c r="C84" t="s">
        <v>72</v>
      </c>
      <c r="D84">
        <v>-8.8999999999999996E-2</v>
      </c>
      <c r="E84">
        <v>3.1E-2</v>
      </c>
      <c r="F84">
        <v>-2.86</v>
      </c>
      <c r="G84">
        <v>4.0000000000000001E-3</v>
      </c>
      <c r="H84">
        <v>-0.15</v>
      </c>
      <c r="I84">
        <v>-2.8000000000000001E-2</v>
      </c>
      <c r="L84" t="s">
        <v>18</v>
      </c>
    </row>
    <row r="85" spans="1:12" x14ac:dyDescent="0.2">
      <c r="A85" t="s">
        <v>82</v>
      </c>
      <c r="B85" t="s">
        <v>123</v>
      </c>
      <c r="C85" t="s">
        <v>73</v>
      </c>
      <c r="D85">
        <v>-0.69099999999999995</v>
      </c>
      <c r="E85">
        <v>6.0999999999999999E-2</v>
      </c>
      <c r="F85">
        <v>-11.247</v>
      </c>
      <c r="G85">
        <v>0</v>
      </c>
      <c r="H85">
        <v>-0.81100000000000005</v>
      </c>
      <c r="I85">
        <v>-0.56999999999999995</v>
      </c>
      <c r="L85" t="s">
        <v>13</v>
      </c>
    </row>
    <row r="86" spans="1:12" hidden="1" x14ac:dyDescent="0.2">
      <c r="B86" t="s">
        <v>124</v>
      </c>
      <c r="J86" t="s">
        <v>12</v>
      </c>
      <c r="K86" t="s">
        <v>12</v>
      </c>
    </row>
    <row r="87" spans="1:12" x14ac:dyDescent="0.2">
      <c r="A87" t="s">
        <v>71</v>
      </c>
      <c r="B87" t="s">
        <v>38</v>
      </c>
      <c r="C87" t="s">
        <v>72</v>
      </c>
      <c r="D87">
        <v>0.54300000000000004</v>
      </c>
      <c r="E87">
        <v>8.5000000000000006E-2</v>
      </c>
      <c r="F87">
        <v>6.4009999999999998</v>
      </c>
      <c r="G87">
        <v>0</v>
      </c>
      <c r="H87">
        <v>0.377</v>
      </c>
      <c r="I87">
        <v>0.70899999999999996</v>
      </c>
      <c r="L87" t="s">
        <v>13</v>
      </c>
    </row>
    <row r="88" spans="1:12" x14ac:dyDescent="0.2">
      <c r="A88" t="s">
        <v>71</v>
      </c>
      <c r="B88" t="s">
        <v>38</v>
      </c>
      <c r="C88" t="s">
        <v>73</v>
      </c>
      <c r="D88">
        <v>0.47499999999999998</v>
      </c>
      <c r="E88">
        <v>8.6999999999999994E-2</v>
      </c>
      <c r="F88">
        <v>5.4420000000000002</v>
      </c>
      <c r="G88">
        <v>0</v>
      </c>
      <c r="H88">
        <v>0.30399999999999999</v>
      </c>
      <c r="I88">
        <v>0.64700000000000002</v>
      </c>
      <c r="L88" t="s">
        <v>13</v>
      </c>
    </row>
    <row r="89" spans="1:12" x14ac:dyDescent="0.2">
      <c r="A89" t="s">
        <v>74</v>
      </c>
      <c r="B89" t="s">
        <v>125</v>
      </c>
      <c r="C89" t="s">
        <v>72</v>
      </c>
      <c r="D89">
        <v>0.57199999999999995</v>
      </c>
      <c r="E89">
        <v>0.111</v>
      </c>
      <c r="F89">
        <v>5.1609999999999996</v>
      </c>
      <c r="G89">
        <v>0</v>
      </c>
      <c r="H89">
        <v>0.35499999999999998</v>
      </c>
      <c r="I89">
        <v>0.78900000000000003</v>
      </c>
      <c r="L89" t="s">
        <v>13</v>
      </c>
    </row>
    <row r="90" spans="1:12" x14ac:dyDescent="0.2">
      <c r="A90" t="s">
        <v>74</v>
      </c>
      <c r="B90" t="s">
        <v>125</v>
      </c>
      <c r="C90" t="s">
        <v>73</v>
      </c>
      <c r="D90">
        <v>0.68500000000000005</v>
      </c>
      <c r="E90">
        <v>0.11700000000000001</v>
      </c>
      <c r="F90">
        <v>5.8550000000000004</v>
      </c>
      <c r="G90">
        <v>0</v>
      </c>
      <c r="H90">
        <v>0.45600000000000002</v>
      </c>
      <c r="I90">
        <v>0.91500000000000004</v>
      </c>
      <c r="L90" t="s">
        <v>13</v>
      </c>
    </row>
    <row r="91" spans="1:12" hidden="1" x14ac:dyDescent="0.2">
      <c r="A91" t="s">
        <v>76</v>
      </c>
      <c r="B91" t="s">
        <v>126</v>
      </c>
      <c r="C91" t="s">
        <v>72</v>
      </c>
      <c r="D91">
        <v>0.17699999999999999</v>
      </c>
      <c r="E91">
        <v>6.2E-2</v>
      </c>
      <c r="F91">
        <v>2.8679999999999999</v>
      </c>
      <c r="G91">
        <v>4.0000000000000001E-3</v>
      </c>
      <c r="H91">
        <v>5.6000000000000001E-2</v>
      </c>
      <c r="I91">
        <v>0.29699999999999999</v>
      </c>
      <c r="L91" t="s">
        <v>18</v>
      </c>
    </row>
    <row r="92" spans="1:12" x14ac:dyDescent="0.2">
      <c r="A92" t="s">
        <v>76</v>
      </c>
      <c r="B92" t="s">
        <v>126</v>
      </c>
      <c r="C92" t="s">
        <v>73</v>
      </c>
      <c r="D92">
        <v>0.84199999999999997</v>
      </c>
      <c r="E92">
        <v>3.1E-2</v>
      </c>
      <c r="F92">
        <v>27.439</v>
      </c>
      <c r="G92">
        <v>0</v>
      </c>
      <c r="H92">
        <v>0.78200000000000003</v>
      </c>
      <c r="I92">
        <v>0.90200000000000002</v>
      </c>
      <c r="L92" t="s">
        <v>13</v>
      </c>
    </row>
    <row r="93" spans="1:12" hidden="1" x14ac:dyDescent="0.2">
      <c r="A93" t="s">
        <v>78</v>
      </c>
      <c r="B93" t="s">
        <v>127</v>
      </c>
      <c r="C93" t="s">
        <v>72</v>
      </c>
      <c r="D93">
        <v>0.122</v>
      </c>
      <c r="E93">
        <v>0.06</v>
      </c>
      <c r="F93">
        <v>2.0470000000000002</v>
      </c>
      <c r="G93">
        <v>4.1000000000000002E-2</v>
      </c>
      <c r="H93">
        <v>5.0000000000000001E-3</v>
      </c>
      <c r="I93">
        <v>0.23899999999999999</v>
      </c>
      <c r="L93" t="s">
        <v>36</v>
      </c>
    </row>
    <row r="94" spans="1:12" x14ac:dyDescent="0.2">
      <c r="A94" t="s">
        <v>78</v>
      </c>
      <c r="B94" t="s">
        <v>127</v>
      </c>
      <c r="C94" t="s">
        <v>73</v>
      </c>
      <c r="D94">
        <v>0.80900000000000005</v>
      </c>
      <c r="E94">
        <v>3.9E-2</v>
      </c>
      <c r="F94">
        <v>20.763000000000002</v>
      </c>
      <c r="G94">
        <v>0</v>
      </c>
      <c r="H94">
        <v>0.73199999999999998</v>
      </c>
      <c r="I94">
        <v>0.88500000000000001</v>
      </c>
      <c r="L94" t="s">
        <v>13</v>
      </c>
    </row>
    <row r="95" spans="1:12" x14ac:dyDescent="0.2">
      <c r="A95" t="s">
        <v>80</v>
      </c>
      <c r="B95" t="s">
        <v>128</v>
      </c>
      <c r="C95" t="s">
        <v>72</v>
      </c>
      <c r="D95">
        <v>0.505</v>
      </c>
      <c r="E95">
        <v>0.125</v>
      </c>
      <c r="F95">
        <v>4.0419999999999998</v>
      </c>
      <c r="G95">
        <v>0</v>
      </c>
      <c r="H95">
        <v>0.26</v>
      </c>
      <c r="I95">
        <v>0.75</v>
      </c>
      <c r="L95" t="s">
        <v>13</v>
      </c>
    </row>
    <row r="96" spans="1:12" x14ac:dyDescent="0.2">
      <c r="A96" t="s">
        <v>80</v>
      </c>
      <c r="B96" t="s">
        <v>128</v>
      </c>
      <c r="C96" t="s">
        <v>73</v>
      </c>
      <c r="D96">
        <v>0.71699999999999997</v>
      </c>
      <c r="E96">
        <v>0.12</v>
      </c>
      <c r="F96">
        <v>5.9550000000000001</v>
      </c>
      <c r="G96">
        <v>0</v>
      </c>
      <c r="H96">
        <v>0.48099999999999998</v>
      </c>
      <c r="I96">
        <v>0.95299999999999996</v>
      </c>
      <c r="L96" t="s">
        <v>13</v>
      </c>
    </row>
    <row r="97" spans="1:12" hidden="1" x14ac:dyDescent="0.2">
      <c r="A97" t="s">
        <v>82</v>
      </c>
      <c r="B97" t="s">
        <v>129</v>
      </c>
      <c r="C97" t="s">
        <v>72</v>
      </c>
      <c r="D97">
        <v>0.115</v>
      </c>
      <c r="E97">
        <v>5.2999999999999999E-2</v>
      </c>
      <c r="F97">
        <v>2.1549999999999998</v>
      </c>
      <c r="G97">
        <v>3.1E-2</v>
      </c>
      <c r="H97">
        <v>0.01</v>
      </c>
      <c r="I97">
        <v>0.219</v>
      </c>
      <c r="L97" t="s">
        <v>36</v>
      </c>
    </row>
    <row r="98" spans="1:12" x14ac:dyDescent="0.2">
      <c r="A98" t="s">
        <v>82</v>
      </c>
      <c r="B98" t="s">
        <v>129</v>
      </c>
      <c r="C98" t="s">
        <v>73</v>
      </c>
      <c r="D98">
        <v>0.84599999999999997</v>
      </c>
      <c r="E98">
        <v>2.7E-2</v>
      </c>
      <c r="F98">
        <v>31.231000000000002</v>
      </c>
      <c r="G98">
        <v>0</v>
      </c>
      <c r="H98">
        <v>0.79300000000000004</v>
      </c>
      <c r="I98">
        <v>0.89900000000000002</v>
      </c>
      <c r="L98" t="s">
        <v>13</v>
      </c>
    </row>
    <row r="99" spans="1:12" hidden="1" x14ac:dyDescent="0.2">
      <c r="A99" t="s">
        <v>84</v>
      </c>
      <c r="B99" t="s">
        <v>130</v>
      </c>
      <c r="C99" t="s">
        <v>72</v>
      </c>
      <c r="D99">
        <v>0.17399999999999999</v>
      </c>
      <c r="E99">
        <v>0.10299999999999999</v>
      </c>
      <c r="F99">
        <v>1.6930000000000001</v>
      </c>
      <c r="G99">
        <v>0.09</v>
      </c>
      <c r="H99">
        <v>-2.7E-2</v>
      </c>
      <c r="I99">
        <v>0.375</v>
      </c>
    </row>
    <row r="100" spans="1:12" x14ac:dyDescent="0.2">
      <c r="A100" t="s">
        <v>84</v>
      </c>
      <c r="B100" t="s">
        <v>130</v>
      </c>
      <c r="C100" t="s">
        <v>73</v>
      </c>
      <c r="D100">
        <v>0.753</v>
      </c>
      <c r="E100">
        <v>6.3E-2</v>
      </c>
      <c r="F100">
        <v>11.920999999999999</v>
      </c>
      <c r="G100">
        <v>0</v>
      </c>
      <c r="H100">
        <v>0.629</v>
      </c>
      <c r="I100">
        <v>0.877</v>
      </c>
      <c r="L100" t="s">
        <v>13</v>
      </c>
    </row>
    <row r="101" spans="1:12" hidden="1" x14ac:dyDescent="0.2">
      <c r="A101" t="s">
        <v>86</v>
      </c>
      <c r="B101" t="s">
        <v>131</v>
      </c>
      <c r="C101" t="s">
        <v>72</v>
      </c>
      <c r="D101">
        <v>0.17699999999999999</v>
      </c>
      <c r="E101">
        <v>8.1000000000000003E-2</v>
      </c>
      <c r="F101">
        <v>2.1930000000000001</v>
      </c>
      <c r="G101">
        <v>2.8000000000000001E-2</v>
      </c>
      <c r="H101">
        <v>1.9E-2</v>
      </c>
      <c r="I101">
        <v>0.33500000000000002</v>
      </c>
      <c r="L101" t="s">
        <v>36</v>
      </c>
    </row>
    <row r="102" spans="1:12" x14ac:dyDescent="0.2">
      <c r="A102" t="s">
        <v>86</v>
      </c>
      <c r="B102" t="s">
        <v>131</v>
      </c>
      <c r="C102" t="s">
        <v>73</v>
      </c>
      <c r="D102">
        <v>0.82699999999999996</v>
      </c>
      <c r="E102">
        <v>3.5999999999999997E-2</v>
      </c>
      <c r="F102">
        <v>23.155000000000001</v>
      </c>
      <c r="G102">
        <v>0</v>
      </c>
      <c r="H102">
        <v>0.75700000000000001</v>
      </c>
      <c r="I102">
        <v>0.89600000000000002</v>
      </c>
      <c r="L102" t="s">
        <v>13</v>
      </c>
    </row>
    <row r="103" spans="1:12" hidden="1" x14ac:dyDescent="0.2">
      <c r="A103" t="s">
        <v>88</v>
      </c>
      <c r="B103" t="s">
        <v>132</v>
      </c>
      <c r="C103" t="s">
        <v>72</v>
      </c>
      <c r="D103">
        <v>0.154</v>
      </c>
      <c r="E103">
        <v>7.4999999999999997E-2</v>
      </c>
      <c r="F103">
        <v>2.0720000000000001</v>
      </c>
      <c r="G103">
        <v>3.7999999999999999E-2</v>
      </c>
      <c r="H103">
        <v>8.0000000000000002E-3</v>
      </c>
      <c r="I103">
        <v>0.30099999999999999</v>
      </c>
      <c r="L103" t="s">
        <v>36</v>
      </c>
    </row>
    <row r="104" spans="1:12" x14ac:dyDescent="0.2">
      <c r="A104" t="s">
        <v>88</v>
      </c>
      <c r="B104" t="s">
        <v>132</v>
      </c>
      <c r="C104" t="s">
        <v>73</v>
      </c>
      <c r="D104">
        <v>0.86199999999999999</v>
      </c>
      <c r="E104">
        <v>2.8000000000000001E-2</v>
      </c>
      <c r="F104">
        <v>30.527999999999999</v>
      </c>
      <c r="G104">
        <v>0</v>
      </c>
      <c r="H104">
        <v>0.80600000000000005</v>
      </c>
      <c r="I104">
        <v>0.91700000000000004</v>
      </c>
      <c r="L104" t="s">
        <v>13</v>
      </c>
    </row>
  </sheetData>
  <autoFilter ref="G1:G104" xr:uid="{00000000-0001-0000-0100-000000000000}">
    <filterColumn colId="0">
      <customFilters>
        <customFilter operator="lessThan" val="1E-3"/>
      </customFilters>
    </filterColumn>
  </autoFilter>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N200"/>
  <sheetViews>
    <sheetView workbookViewId="0">
      <selection activeCell="M1" sqref="M1:N1"/>
    </sheetView>
  </sheetViews>
  <sheetFormatPr baseColWidth="10" defaultRowHeight="15" x14ac:dyDescent="0.2"/>
  <sheetData>
    <row r="1" spans="1:14" x14ac:dyDescent="0.2">
      <c r="A1" t="s">
        <v>0</v>
      </c>
      <c r="B1" t="s">
        <v>1</v>
      </c>
      <c r="C1" t="s">
        <v>68</v>
      </c>
      <c r="D1" t="s">
        <v>2</v>
      </c>
      <c r="E1" t="s">
        <v>3</v>
      </c>
      <c r="F1" t="s">
        <v>163</v>
      </c>
      <c r="G1" t="s">
        <v>4</v>
      </c>
      <c r="H1" t="s">
        <v>5</v>
      </c>
      <c r="I1" t="s">
        <v>6</v>
      </c>
      <c r="J1" t="s">
        <v>7</v>
      </c>
      <c r="K1" t="s">
        <v>8</v>
      </c>
      <c r="L1" t="s">
        <v>9</v>
      </c>
      <c r="M1" t="s">
        <v>164</v>
      </c>
      <c r="N1" s="2">
        <f>0.05/(5*2)</f>
        <v>5.0000000000000001E-3</v>
      </c>
    </row>
    <row r="2" spans="1:14" hidden="1" x14ac:dyDescent="0.2">
      <c r="B2" t="s">
        <v>69</v>
      </c>
      <c r="J2" t="s">
        <v>12</v>
      </c>
      <c r="K2" t="s">
        <v>12</v>
      </c>
    </row>
    <row r="3" spans="1:14" hidden="1" x14ac:dyDescent="0.2">
      <c r="A3" t="s">
        <v>133</v>
      </c>
      <c r="B3" t="s">
        <v>15</v>
      </c>
      <c r="C3" t="s">
        <v>72</v>
      </c>
      <c r="D3">
        <v>-0.19</v>
      </c>
      <c r="E3">
        <v>8.7999999999999995E-2</v>
      </c>
      <c r="F3">
        <v>-2.1659999999999999</v>
      </c>
      <c r="G3">
        <v>0.03</v>
      </c>
      <c r="H3">
        <v>-0.36099999999999999</v>
      </c>
      <c r="I3">
        <v>-1.7999999999999999E-2</v>
      </c>
      <c r="L3" t="s">
        <v>36</v>
      </c>
    </row>
    <row r="4" spans="1:14" hidden="1" x14ac:dyDescent="0.2">
      <c r="A4" t="s">
        <v>134</v>
      </c>
      <c r="B4" t="s">
        <v>15</v>
      </c>
      <c r="C4" t="s">
        <v>72</v>
      </c>
      <c r="D4">
        <v>0.193</v>
      </c>
      <c r="E4">
        <v>8.5999999999999993E-2</v>
      </c>
      <c r="F4">
        <v>2.2400000000000002</v>
      </c>
      <c r="G4">
        <v>2.5000000000000001E-2</v>
      </c>
      <c r="H4">
        <v>2.4E-2</v>
      </c>
      <c r="I4">
        <v>0.36199999999999999</v>
      </c>
      <c r="L4" t="s">
        <v>36</v>
      </c>
    </row>
    <row r="5" spans="1:14" hidden="1" x14ac:dyDescent="0.2">
      <c r="A5" t="s">
        <v>133</v>
      </c>
      <c r="B5" t="s">
        <v>15</v>
      </c>
      <c r="C5" t="s">
        <v>73</v>
      </c>
      <c r="D5">
        <v>-9.4E-2</v>
      </c>
      <c r="E5">
        <v>7.0999999999999994E-2</v>
      </c>
      <c r="F5">
        <v>-1.331</v>
      </c>
      <c r="G5">
        <v>0.183</v>
      </c>
      <c r="H5">
        <v>-0.23200000000000001</v>
      </c>
      <c r="I5">
        <v>4.3999999999999997E-2</v>
      </c>
    </row>
    <row r="6" spans="1:14" hidden="1" x14ac:dyDescent="0.2">
      <c r="A6" t="s">
        <v>134</v>
      </c>
      <c r="B6" t="s">
        <v>15</v>
      </c>
      <c r="C6" t="s">
        <v>73</v>
      </c>
      <c r="D6">
        <v>0.127</v>
      </c>
      <c r="E6">
        <v>6.8000000000000005E-2</v>
      </c>
      <c r="F6">
        <v>1.861</v>
      </c>
      <c r="G6">
        <v>6.3E-2</v>
      </c>
      <c r="H6">
        <v>-7.0000000000000001E-3</v>
      </c>
      <c r="I6">
        <v>0.26</v>
      </c>
    </row>
    <row r="7" spans="1:14" hidden="1" x14ac:dyDescent="0.2">
      <c r="A7" t="s">
        <v>133</v>
      </c>
      <c r="B7" t="s">
        <v>75</v>
      </c>
      <c r="C7" t="s">
        <v>72</v>
      </c>
      <c r="D7">
        <v>9.8000000000000004E-2</v>
      </c>
      <c r="E7">
        <v>0.183</v>
      </c>
      <c r="F7">
        <v>0.53300000000000003</v>
      </c>
      <c r="G7">
        <v>0.59399999999999997</v>
      </c>
      <c r="H7">
        <v>-0.26100000000000001</v>
      </c>
      <c r="I7">
        <v>0.45700000000000002</v>
      </c>
    </row>
    <row r="8" spans="1:14" hidden="1" x14ac:dyDescent="0.2">
      <c r="A8" t="s">
        <v>134</v>
      </c>
      <c r="B8" t="s">
        <v>75</v>
      </c>
      <c r="C8" t="s">
        <v>72</v>
      </c>
      <c r="D8">
        <v>-6.4000000000000001E-2</v>
      </c>
      <c r="E8">
        <v>0.19900000000000001</v>
      </c>
      <c r="F8">
        <v>-0.32200000000000001</v>
      </c>
      <c r="G8">
        <v>0.747</v>
      </c>
      <c r="H8">
        <v>-0.45500000000000002</v>
      </c>
      <c r="I8">
        <v>0.32700000000000001</v>
      </c>
    </row>
    <row r="9" spans="1:14" hidden="1" x14ac:dyDescent="0.2">
      <c r="A9" t="s">
        <v>133</v>
      </c>
      <c r="B9" t="s">
        <v>75</v>
      </c>
      <c r="C9" t="s">
        <v>73</v>
      </c>
      <c r="D9">
        <v>9.2999999999999999E-2</v>
      </c>
      <c r="E9">
        <v>9.6000000000000002E-2</v>
      </c>
      <c r="F9">
        <v>0.97</v>
      </c>
      <c r="G9">
        <v>0.33200000000000002</v>
      </c>
      <c r="H9">
        <v>-9.5000000000000001E-2</v>
      </c>
      <c r="I9">
        <v>0.28100000000000003</v>
      </c>
    </row>
    <row r="10" spans="1:14" hidden="1" x14ac:dyDescent="0.2">
      <c r="A10" t="s">
        <v>134</v>
      </c>
      <c r="B10" t="s">
        <v>75</v>
      </c>
      <c r="C10" t="s">
        <v>73</v>
      </c>
      <c r="D10">
        <v>-0.13300000000000001</v>
      </c>
      <c r="E10">
        <v>8.4000000000000005E-2</v>
      </c>
      <c r="F10">
        <v>-1.59</v>
      </c>
      <c r="G10">
        <v>0.112</v>
      </c>
      <c r="H10">
        <v>-0.29699999999999999</v>
      </c>
      <c r="I10">
        <v>3.1E-2</v>
      </c>
    </row>
    <row r="11" spans="1:14" hidden="1" x14ac:dyDescent="0.2">
      <c r="A11" t="s">
        <v>133</v>
      </c>
      <c r="B11" t="s">
        <v>77</v>
      </c>
      <c r="C11" t="s">
        <v>72</v>
      </c>
      <c r="D11">
        <v>-0.26300000000000001</v>
      </c>
      <c r="E11">
        <v>9.6000000000000002E-2</v>
      </c>
      <c r="F11">
        <v>-2.73</v>
      </c>
      <c r="G11">
        <v>6.0000000000000001E-3</v>
      </c>
      <c r="H11">
        <v>-0.45100000000000001</v>
      </c>
      <c r="I11">
        <v>-7.3999999999999996E-2</v>
      </c>
      <c r="L11" t="s">
        <v>18</v>
      </c>
    </row>
    <row r="12" spans="1:14" x14ac:dyDescent="0.2">
      <c r="A12" t="s">
        <v>134</v>
      </c>
      <c r="B12" t="s">
        <v>77</v>
      </c>
      <c r="C12" t="s">
        <v>72</v>
      </c>
      <c r="D12">
        <v>0.25700000000000001</v>
      </c>
      <c r="E12">
        <v>8.8999999999999996E-2</v>
      </c>
      <c r="F12">
        <v>2.875</v>
      </c>
      <c r="G12">
        <v>4.0000000000000001E-3</v>
      </c>
      <c r="H12">
        <v>8.2000000000000003E-2</v>
      </c>
      <c r="I12">
        <v>0.43099999999999999</v>
      </c>
      <c r="L12" t="s">
        <v>18</v>
      </c>
    </row>
    <row r="13" spans="1:14" hidden="1" x14ac:dyDescent="0.2">
      <c r="A13" t="s">
        <v>133</v>
      </c>
      <c r="B13" t="s">
        <v>77</v>
      </c>
      <c r="C13" t="s">
        <v>73</v>
      </c>
      <c r="D13">
        <v>0.114</v>
      </c>
      <c r="E13">
        <v>0.08</v>
      </c>
      <c r="F13">
        <v>1.4330000000000001</v>
      </c>
      <c r="G13">
        <v>0.152</v>
      </c>
      <c r="H13">
        <v>-4.2000000000000003E-2</v>
      </c>
      <c r="I13">
        <v>0.27100000000000002</v>
      </c>
    </row>
    <row r="14" spans="1:14" hidden="1" x14ac:dyDescent="0.2">
      <c r="A14" t="s">
        <v>134</v>
      </c>
      <c r="B14" t="s">
        <v>77</v>
      </c>
      <c r="C14" t="s">
        <v>73</v>
      </c>
      <c r="D14">
        <v>-5.5E-2</v>
      </c>
      <c r="E14">
        <v>7.2999999999999995E-2</v>
      </c>
      <c r="F14">
        <v>-0.75600000000000001</v>
      </c>
      <c r="G14">
        <v>0.45</v>
      </c>
      <c r="H14">
        <v>-0.19800000000000001</v>
      </c>
      <c r="I14">
        <v>8.7999999999999995E-2</v>
      </c>
    </row>
    <row r="15" spans="1:14" x14ac:dyDescent="0.2">
      <c r="A15" t="s">
        <v>133</v>
      </c>
      <c r="B15" t="s">
        <v>79</v>
      </c>
      <c r="C15" t="s">
        <v>72</v>
      </c>
      <c r="D15">
        <v>0.312</v>
      </c>
      <c r="E15">
        <v>0.109</v>
      </c>
      <c r="F15">
        <v>2.871</v>
      </c>
      <c r="G15">
        <v>4.0000000000000001E-3</v>
      </c>
      <c r="H15">
        <v>9.9000000000000005E-2</v>
      </c>
      <c r="I15">
        <v>0.52500000000000002</v>
      </c>
      <c r="L15" t="s">
        <v>18</v>
      </c>
    </row>
    <row r="16" spans="1:14" x14ac:dyDescent="0.2">
      <c r="A16" t="s">
        <v>134</v>
      </c>
      <c r="B16" t="s">
        <v>79</v>
      </c>
      <c r="C16" t="s">
        <v>72</v>
      </c>
      <c r="D16">
        <v>-0.28399999999999997</v>
      </c>
      <c r="E16">
        <v>8.5999999999999993E-2</v>
      </c>
      <c r="F16">
        <v>-3.3039999999999998</v>
      </c>
      <c r="G16">
        <v>1E-3</v>
      </c>
      <c r="H16">
        <v>-0.45300000000000001</v>
      </c>
      <c r="I16">
        <v>-0.11600000000000001</v>
      </c>
      <c r="L16" t="s">
        <v>18</v>
      </c>
    </row>
    <row r="17" spans="1:12" hidden="1" x14ac:dyDescent="0.2">
      <c r="A17" t="s">
        <v>133</v>
      </c>
      <c r="B17" t="s">
        <v>79</v>
      </c>
      <c r="C17" t="s">
        <v>73</v>
      </c>
      <c r="D17">
        <v>-3.7999999999999999E-2</v>
      </c>
      <c r="E17">
        <v>5.6000000000000001E-2</v>
      </c>
      <c r="F17">
        <v>-0.68300000000000005</v>
      </c>
      <c r="G17">
        <v>0.495</v>
      </c>
      <c r="H17">
        <v>-0.14699999999999999</v>
      </c>
      <c r="I17">
        <v>7.0999999999999994E-2</v>
      </c>
    </row>
    <row r="18" spans="1:12" hidden="1" x14ac:dyDescent="0.2">
      <c r="A18" t="s">
        <v>134</v>
      </c>
      <c r="B18" t="s">
        <v>79</v>
      </c>
      <c r="C18" t="s">
        <v>73</v>
      </c>
      <c r="D18">
        <v>4.0000000000000001E-3</v>
      </c>
      <c r="E18">
        <v>4.8000000000000001E-2</v>
      </c>
      <c r="F18">
        <v>7.2999999999999995E-2</v>
      </c>
      <c r="G18">
        <v>0.94199999999999995</v>
      </c>
      <c r="H18">
        <v>-9.0999999999999998E-2</v>
      </c>
      <c r="I18">
        <v>9.8000000000000004E-2</v>
      </c>
    </row>
    <row r="19" spans="1:12" hidden="1" x14ac:dyDescent="0.2">
      <c r="A19" t="s">
        <v>133</v>
      </c>
      <c r="B19" t="s">
        <v>81</v>
      </c>
      <c r="C19" t="s">
        <v>72</v>
      </c>
      <c r="D19">
        <v>-9.9000000000000005E-2</v>
      </c>
      <c r="E19">
        <v>0.158</v>
      </c>
      <c r="F19">
        <v>-0.628</v>
      </c>
      <c r="G19">
        <v>0.53</v>
      </c>
      <c r="H19">
        <v>-0.40799999999999997</v>
      </c>
      <c r="I19">
        <v>0.21</v>
      </c>
    </row>
    <row r="20" spans="1:12" hidden="1" x14ac:dyDescent="0.2">
      <c r="A20" t="s">
        <v>134</v>
      </c>
      <c r="B20" t="s">
        <v>81</v>
      </c>
      <c r="C20" t="s">
        <v>72</v>
      </c>
      <c r="D20">
        <v>0.18099999999999999</v>
      </c>
      <c r="E20">
        <v>0.14299999999999999</v>
      </c>
      <c r="F20">
        <v>1.2689999999999999</v>
      </c>
      <c r="G20">
        <v>0.20399999999999999</v>
      </c>
      <c r="H20">
        <v>-9.8000000000000004E-2</v>
      </c>
      <c r="I20">
        <v>0.46</v>
      </c>
    </row>
    <row r="21" spans="1:12" hidden="1" x14ac:dyDescent="0.2">
      <c r="A21" t="s">
        <v>133</v>
      </c>
      <c r="B21" t="s">
        <v>81</v>
      </c>
      <c r="C21" t="s">
        <v>73</v>
      </c>
      <c r="D21">
        <v>1E-3</v>
      </c>
      <c r="E21">
        <v>8.7999999999999995E-2</v>
      </c>
      <c r="F21">
        <v>6.0000000000000001E-3</v>
      </c>
      <c r="G21">
        <v>0.995</v>
      </c>
      <c r="H21">
        <v>-0.17199999999999999</v>
      </c>
      <c r="I21">
        <v>0.17299999999999999</v>
      </c>
    </row>
    <row r="22" spans="1:12" hidden="1" x14ac:dyDescent="0.2">
      <c r="A22" t="s">
        <v>134</v>
      </c>
      <c r="B22" t="s">
        <v>81</v>
      </c>
      <c r="C22" t="s">
        <v>73</v>
      </c>
      <c r="D22">
        <v>1.9E-2</v>
      </c>
      <c r="E22">
        <v>7.5999999999999998E-2</v>
      </c>
      <c r="F22">
        <v>0.255</v>
      </c>
      <c r="G22">
        <v>0.79900000000000004</v>
      </c>
      <c r="H22">
        <v>-0.13</v>
      </c>
      <c r="I22">
        <v>0.16900000000000001</v>
      </c>
    </row>
    <row r="23" spans="1:12" x14ac:dyDescent="0.2">
      <c r="A23" t="s">
        <v>133</v>
      </c>
      <c r="B23" t="s">
        <v>83</v>
      </c>
      <c r="C23" t="s">
        <v>72</v>
      </c>
      <c r="D23">
        <v>-0.16500000000000001</v>
      </c>
      <c r="E23">
        <v>5.3999999999999999E-2</v>
      </c>
      <c r="F23">
        <v>-3.056</v>
      </c>
      <c r="G23">
        <v>2E-3</v>
      </c>
      <c r="H23">
        <v>-0.27100000000000002</v>
      </c>
      <c r="I23">
        <v>-5.8999999999999997E-2</v>
      </c>
      <c r="L23" t="s">
        <v>18</v>
      </c>
    </row>
    <row r="24" spans="1:12" x14ac:dyDescent="0.2">
      <c r="A24" t="s">
        <v>134</v>
      </c>
      <c r="B24" t="s">
        <v>83</v>
      </c>
      <c r="C24" t="s">
        <v>72</v>
      </c>
      <c r="D24">
        <v>0.189</v>
      </c>
      <c r="E24">
        <v>0.06</v>
      </c>
      <c r="F24">
        <v>3.14</v>
      </c>
      <c r="G24">
        <v>2E-3</v>
      </c>
      <c r="H24">
        <v>7.0999999999999994E-2</v>
      </c>
      <c r="I24">
        <v>0.308</v>
      </c>
      <c r="L24" t="s">
        <v>18</v>
      </c>
    </row>
    <row r="25" spans="1:12" hidden="1" x14ac:dyDescent="0.2">
      <c r="A25" t="s">
        <v>133</v>
      </c>
      <c r="B25" t="s">
        <v>83</v>
      </c>
      <c r="C25" t="s">
        <v>73</v>
      </c>
      <c r="D25">
        <v>2.8000000000000001E-2</v>
      </c>
      <c r="E25">
        <v>6.4000000000000001E-2</v>
      </c>
      <c r="F25">
        <v>0.44</v>
      </c>
      <c r="G25">
        <v>0.66</v>
      </c>
      <c r="H25">
        <v>-9.7000000000000003E-2</v>
      </c>
      <c r="I25">
        <v>0.153</v>
      </c>
    </row>
    <row r="26" spans="1:12" hidden="1" x14ac:dyDescent="0.2">
      <c r="A26" t="s">
        <v>134</v>
      </c>
      <c r="B26" t="s">
        <v>83</v>
      </c>
      <c r="C26" t="s">
        <v>73</v>
      </c>
      <c r="D26">
        <v>-5.7000000000000002E-2</v>
      </c>
      <c r="E26">
        <v>5.6000000000000001E-2</v>
      </c>
      <c r="F26">
        <v>-1.0249999999999999</v>
      </c>
      <c r="G26">
        <v>0.30599999999999999</v>
      </c>
      <c r="H26">
        <v>-0.16600000000000001</v>
      </c>
      <c r="I26">
        <v>5.1999999999999998E-2</v>
      </c>
    </row>
    <row r="27" spans="1:12" hidden="1" x14ac:dyDescent="0.2">
      <c r="A27" t="s">
        <v>133</v>
      </c>
      <c r="B27" t="s">
        <v>85</v>
      </c>
      <c r="C27" t="s">
        <v>72</v>
      </c>
      <c r="D27">
        <v>-8.1000000000000003E-2</v>
      </c>
      <c r="E27">
        <v>0.121</v>
      </c>
      <c r="F27">
        <v>-0.67</v>
      </c>
      <c r="G27">
        <v>0.503</v>
      </c>
      <c r="H27">
        <v>-0.317</v>
      </c>
      <c r="I27">
        <v>0.156</v>
      </c>
    </row>
    <row r="28" spans="1:12" hidden="1" x14ac:dyDescent="0.2">
      <c r="A28" t="s">
        <v>134</v>
      </c>
      <c r="B28" t="s">
        <v>85</v>
      </c>
      <c r="C28" t="s">
        <v>72</v>
      </c>
      <c r="D28">
        <v>8.8999999999999996E-2</v>
      </c>
      <c r="E28">
        <v>0.11799999999999999</v>
      </c>
      <c r="F28">
        <v>0.75600000000000001</v>
      </c>
      <c r="G28">
        <v>0.45</v>
      </c>
      <c r="H28">
        <v>-0.14199999999999999</v>
      </c>
      <c r="I28">
        <v>0.31900000000000001</v>
      </c>
    </row>
    <row r="29" spans="1:12" hidden="1" x14ac:dyDescent="0.2">
      <c r="A29" t="s">
        <v>133</v>
      </c>
      <c r="B29" t="s">
        <v>85</v>
      </c>
      <c r="C29" t="s">
        <v>73</v>
      </c>
      <c r="D29">
        <v>0.126</v>
      </c>
      <c r="E29">
        <v>6.9000000000000006E-2</v>
      </c>
      <c r="F29">
        <v>1.8260000000000001</v>
      </c>
      <c r="G29">
        <v>6.8000000000000005E-2</v>
      </c>
      <c r="H29">
        <v>-8.9999999999999993E-3</v>
      </c>
      <c r="I29">
        <v>0.26200000000000001</v>
      </c>
    </row>
    <row r="30" spans="1:12" hidden="1" x14ac:dyDescent="0.2">
      <c r="A30" t="s">
        <v>134</v>
      </c>
      <c r="B30" t="s">
        <v>85</v>
      </c>
      <c r="C30" t="s">
        <v>73</v>
      </c>
      <c r="D30">
        <v>-7.9000000000000001E-2</v>
      </c>
      <c r="E30">
        <v>6.2E-2</v>
      </c>
      <c r="F30">
        <v>-1.2789999999999999</v>
      </c>
      <c r="G30">
        <v>0.20100000000000001</v>
      </c>
      <c r="H30">
        <v>-0.20100000000000001</v>
      </c>
      <c r="I30">
        <v>4.2000000000000003E-2</v>
      </c>
    </row>
    <row r="31" spans="1:12" hidden="1" x14ac:dyDescent="0.2">
      <c r="A31" t="s">
        <v>133</v>
      </c>
      <c r="B31" t="s">
        <v>87</v>
      </c>
      <c r="C31" t="s">
        <v>72</v>
      </c>
      <c r="D31">
        <v>-0.16200000000000001</v>
      </c>
      <c r="E31">
        <v>9.7000000000000003E-2</v>
      </c>
      <c r="F31">
        <v>-1.675</v>
      </c>
      <c r="G31">
        <v>9.4E-2</v>
      </c>
      <c r="H31">
        <v>-0.35099999999999998</v>
      </c>
      <c r="I31">
        <v>2.7E-2</v>
      </c>
    </row>
    <row r="32" spans="1:12" hidden="1" x14ac:dyDescent="0.2">
      <c r="A32" t="s">
        <v>134</v>
      </c>
      <c r="B32" t="s">
        <v>87</v>
      </c>
      <c r="C32" t="s">
        <v>72</v>
      </c>
      <c r="D32">
        <v>0.16300000000000001</v>
      </c>
      <c r="E32">
        <v>9.4E-2</v>
      </c>
      <c r="F32">
        <v>1.732</v>
      </c>
      <c r="G32">
        <v>8.3000000000000004E-2</v>
      </c>
      <c r="H32">
        <v>-2.1999999999999999E-2</v>
      </c>
      <c r="I32">
        <v>0.34799999999999998</v>
      </c>
    </row>
    <row r="33" spans="1:11" hidden="1" x14ac:dyDescent="0.2">
      <c r="A33" t="s">
        <v>133</v>
      </c>
      <c r="B33" t="s">
        <v>87</v>
      </c>
      <c r="C33" t="s">
        <v>73</v>
      </c>
      <c r="D33">
        <v>-0.05</v>
      </c>
      <c r="E33">
        <v>8.7999999999999995E-2</v>
      </c>
      <c r="F33">
        <v>-0.57199999999999995</v>
      </c>
      <c r="G33">
        <v>0.56799999999999995</v>
      </c>
      <c r="H33">
        <v>-0.222</v>
      </c>
      <c r="I33">
        <v>0.122</v>
      </c>
    </row>
    <row r="34" spans="1:11" hidden="1" x14ac:dyDescent="0.2">
      <c r="A34" t="s">
        <v>134</v>
      </c>
      <c r="B34" t="s">
        <v>87</v>
      </c>
      <c r="C34" t="s">
        <v>73</v>
      </c>
      <c r="D34">
        <v>7.8E-2</v>
      </c>
      <c r="E34">
        <v>8.2000000000000003E-2</v>
      </c>
      <c r="F34">
        <v>0.95199999999999996</v>
      </c>
      <c r="G34">
        <v>0.34100000000000003</v>
      </c>
      <c r="H34">
        <v>-8.2000000000000003E-2</v>
      </c>
      <c r="I34">
        <v>0.23799999999999999</v>
      </c>
    </row>
    <row r="35" spans="1:11" hidden="1" x14ac:dyDescent="0.2">
      <c r="A35" t="s">
        <v>133</v>
      </c>
      <c r="B35" t="s">
        <v>89</v>
      </c>
      <c r="C35" t="s">
        <v>72</v>
      </c>
      <c r="D35">
        <v>-0.20300000000000001</v>
      </c>
      <c r="E35">
        <v>0.109</v>
      </c>
      <c r="F35">
        <v>-1.8680000000000001</v>
      </c>
      <c r="G35">
        <v>6.2E-2</v>
      </c>
      <c r="H35">
        <v>-0.41599999999999998</v>
      </c>
      <c r="I35">
        <v>0.01</v>
      </c>
    </row>
    <row r="36" spans="1:11" hidden="1" x14ac:dyDescent="0.2">
      <c r="A36" t="s">
        <v>134</v>
      </c>
      <c r="B36" t="s">
        <v>89</v>
      </c>
      <c r="C36" t="s">
        <v>72</v>
      </c>
      <c r="D36">
        <v>0.221</v>
      </c>
      <c r="E36">
        <v>0.114</v>
      </c>
      <c r="F36">
        <v>1.9370000000000001</v>
      </c>
      <c r="G36">
        <v>5.2999999999999999E-2</v>
      </c>
      <c r="H36">
        <v>-3.0000000000000001E-3</v>
      </c>
      <c r="I36">
        <v>0.44500000000000001</v>
      </c>
    </row>
    <row r="37" spans="1:11" hidden="1" x14ac:dyDescent="0.2">
      <c r="A37" t="s">
        <v>133</v>
      </c>
      <c r="B37" t="s">
        <v>89</v>
      </c>
      <c r="C37" t="s">
        <v>73</v>
      </c>
      <c r="D37">
        <v>-7.5999999999999998E-2</v>
      </c>
      <c r="E37">
        <v>6.2E-2</v>
      </c>
      <c r="F37">
        <v>-1.2230000000000001</v>
      </c>
      <c r="G37">
        <v>0.221</v>
      </c>
      <c r="H37">
        <v>-0.19900000000000001</v>
      </c>
      <c r="I37">
        <v>4.5999999999999999E-2</v>
      </c>
    </row>
    <row r="38" spans="1:11" hidden="1" x14ac:dyDescent="0.2">
      <c r="A38" t="s">
        <v>134</v>
      </c>
      <c r="B38" t="s">
        <v>89</v>
      </c>
      <c r="C38" t="s">
        <v>73</v>
      </c>
      <c r="D38">
        <v>4.2000000000000003E-2</v>
      </c>
      <c r="E38">
        <v>0.06</v>
      </c>
      <c r="F38">
        <v>0.70299999999999996</v>
      </c>
      <c r="G38">
        <v>0.48199999999999998</v>
      </c>
      <c r="H38">
        <v>-7.5999999999999998E-2</v>
      </c>
      <c r="I38">
        <v>0.16</v>
      </c>
    </row>
    <row r="39" spans="1:11" hidden="1" x14ac:dyDescent="0.2">
      <c r="B39" t="s">
        <v>90</v>
      </c>
      <c r="J39" t="s">
        <v>12</v>
      </c>
      <c r="K39" t="s">
        <v>12</v>
      </c>
    </row>
    <row r="40" spans="1:11" hidden="1" x14ac:dyDescent="0.2">
      <c r="A40" t="s">
        <v>134</v>
      </c>
      <c r="B40" t="s">
        <v>22</v>
      </c>
      <c r="C40" t="s">
        <v>72</v>
      </c>
      <c r="D40">
        <v>-4.5999999999999999E-2</v>
      </c>
      <c r="E40">
        <v>0.216</v>
      </c>
      <c r="F40">
        <v>-0.214</v>
      </c>
      <c r="G40">
        <v>0.83099999999999996</v>
      </c>
      <c r="H40">
        <v>-0.46899999999999997</v>
      </c>
      <c r="I40">
        <v>0.377</v>
      </c>
    </row>
    <row r="41" spans="1:11" hidden="1" x14ac:dyDescent="0.2">
      <c r="A41" t="s">
        <v>133</v>
      </c>
      <c r="B41" t="s">
        <v>22</v>
      </c>
      <c r="C41" t="s">
        <v>72</v>
      </c>
      <c r="D41">
        <v>9.7000000000000003E-2</v>
      </c>
      <c r="E41">
        <v>0.115</v>
      </c>
      <c r="F41">
        <v>0.84099999999999997</v>
      </c>
      <c r="G41">
        <v>0.4</v>
      </c>
      <c r="H41">
        <v>-0.129</v>
      </c>
      <c r="I41">
        <v>0.32300000000000001</v>
      </c>
    </row>
    <row r="42" spans="1:11" hidden="1" x14ac:dyDescent="0.2">
      <c r="A42" t="s">
        <v>133</v>
      </c>
      <c r="B42" t="s">
        <v>22</v>
      </c>
      <c r="C42" t="s">
        <v>73</v>
      </c>
      <c r="D42">
        <v>-8.0000000000000002E-3</v>
      </c>
      <c r="E42">
        <v>9.8000000000000004E-2</v>
      </c>
      <c r="F42">
        <v>-7.6999999999999999E-2</v>
      </c>
      <c r="G42">
        <v>0.93899999999999995</v>
      </c>
      <c r="H42">
        <v>-0.19900000000000001</v>
      </c>
      <c r="I42">
        <v>0.184</v>
      </c>
    </row>
    <row r="43" spans="1:11" hidden="1" x14ac:dyDescent="0.2">
      <c r="A43" t="s">
        <v>134</v>
      </c>
      <c r="B43" t="s">
        <v>22</v>
      </c>
      <c r="C43" t="s">
        <v>73</v>
      </c>
      <c r="D43">
        <v>-6.7000000000000004E-2</v>
      </c>
      <c r="E43">
        <v>6.6000000000000003E-2</v>
      </c>
      <c r="F43">
        <v>-1.01</v>
      </c>
      <c r="G43">
        <v>0.313</v>
      </c>
      <c r="H43">
        <v>-0.19700000000000001</v>
      </c>
      <c r="I43">
        <v>6.3E-2</v>
      </c>
    </row>
    <row r="44" spans="1:11" hidden="1" x14ac:dyDescent="0.2">
      <c r="A44" t="s">
        <v>133</v>
      </c>
      <c r="B44" t="s">
        <v>91</v>
      </c>
      <c r="C44" t="s">
        <v>72</v>
      </c>
      <c r="D44">
        <v>-3.4000000000000002E-2</v>
      </c>
      <c r="E44">
        <v>0.22500000000000001</v>
      </c>
      <c r="F44">
        <v>-0.151</v>
      </c>
      <c r="G44">
        <v>0.88</v>
      </c>
      <c r="H44">
        <v>-0.47599999999999998</v>
      </c>
      <c r="I44">
        <v>0.40699999999999997</v>
      </c>
    </row>
    <row r="45" spans="1:11" hidden="1" x14ac:dyDescent="0.2">
      <c r="A45" t="s">
        <v>134</v>
      </c>
      <c r="B45" t="s">
        <v>91</v>
      </c>
      <c r="C45" t="s">
        <v>72</v>
      </c>
      <c r="D45">
        <v>5.5E-2</v>
      </c>
      <c r="E45">
        <v>0.46600000000000003</v>
      </c>
      <c r="F45">
        <v>0.11799999999999999</v>
      </c>
      <c r="G45">
        <v>0.90600000000000003</v>
      </c>
      <c r="H45">
        <v>-0.85799999999999998</v>
      </c>
      <c r="I45">
        <v>0.96899999999999997</v>
      </c>
    </row>
    <row r="46" spans="1:11" hidden="1" x14ac:dyDescent="0.2">
      <c r="A46" t="s">
        <v>133</v>
      </c>
      <c r="B46" t="s">
        <v>91</v>
      </c>
      <c r="C46" t="s">
        <v>73</v>
      </c>
      <c r="D46">
        <v>2.5999999999999999E-2</v>
      </c>
      <c r="E46">
        <v>0.13400000000000001</v>
      </c>
      <c r="F46">
        <v>0.191</v>
      </c>
      <c r="G46">
        <v>0.84899999999999998</v>
      </c>
      <c r="H46">
        <v>-0.23699999999999999</v>
      </c>
      <c r="I46">
        <v>0.28799999999999998</v>
      </c>
    </row>
    <row r="47" spans="1:11" hidden="1" x14ac:dyDescent="0.2">
      <c r="A47" t="s">
        <v>134</v>
      </c>
      <c r="B47" t="s">
        <v>91</v>
      </c>
      <c r="C47" t="s">
        <v>73</v>
      </c>
      <c r="D47">
        <v>-7.5999999999999998E-2</v>
      </c>
      <c r="E47">
        <v>5.8999999999999997E-2</v>
      </c>
      <c r="F47">
        <v>-1.286</v>
      </c>
      <c r="G47">
        <v>0.19800000000000001</v>
      </c>
      <c r="H47">
        <v>-0.191</v>
      </c>
      <c r="I47">
        <v>0.04</v>
      </c>
    </row>
    <row r="48" spans="1:11" hidden="1" x14ac:dyDescent="0.2">
      <c r="A48" t="s">
        <v>133</v>
      </c>
      <c r="B48" t="s">
        <v>92</v>
      </c>
      <c r="C48" t="s">
        <v>72</v>
      </c>
      <c r="D48">
        <v>-0.129</v>
      </c>
      <c r="E48">
        <v>0.19600000000000001</v>
      </c>
      <c r="F48">
        <v>-0.65700000000000003</v>
      </c>
      <c r="G48">
        <v>0.51100000000000001</v>
      </c>
      <c r="H48">
        <v>-0.51200000000000001</v>
      </c>
      <c r="I48">
        <v>0.255</v>
      </c>
    </row>
    <row r="49" spans="1:12" hidden="1" x14ac:dyDescent="0.2">
      <c r="A49" t="s">
        <v>134</v>
      </c>
      <c r="B49" t="s">
        <v>92</v>
      </c>
      <c r="C49" t="s">
        <v>72</v>
      </c>
      <c r="D49">
        <v>0.28499999999999998</v>
      </c>
      <c r="E49">
        <v>0.39300000000000002</v>
      </c>
      <c r="F49">
        <v>0.72599999999999998</v>
      </c>
      <c r="G49">
        <v>0.46800000000000003</v>
      </c>
      <c r="H49">
        <v>-0.48499999999999999</v>
      </c>
      <c r="I49">
        <v>1.0549999999999999</v>
      </c>
    </row>
    <row r="50" spans="1:12" hidden="1" x14ac:dyDescent="0.2">
      <c r="A50" t="s">
        <v>133</v>
      </c>
      <c r="B50" t="s">
        <v>92</v>
      </c>
      <c r="C50" t="s">
        <v>73</v>
      </c>
      <c r="D50">
        <v>-7.0000000000000001E-3</v>
      </c>
      <c r="E50">
        <v>8.6999999999999994E-2</v>
      </c>
      <c r="F50">
        <v>-8.3000000000000004E-2</v>
      </c>
      <c r="G50">
        <v>0.93400000000000005</v>
      </c>
      <c r="H50">
        <v>-0.17699999999999999</v>
      </c>
      <c r="I50">
        <v>0.16200000000000001</v>
      </c>
    </row>
    <row r="51" spans="1:12" hidden="1" x14ac:dyDescent="0.2">
      <c r="A51" t="s">
        <v>134</v>
      </c>
      <c r="B51" t="s">
        <v>92</v>
      </c>
      <c r="C51" t="s">
        <v>73</v>
      </c>
      <c r="D51">
        <v>0.10299999999999999</v>
      </c>
      <c r="E51">
        <v>7.8E-2</v>
      </c>
      <c r="F51">
        <v>1.331</v>
      </c>
      <c r="G51">
        <v>0.183</v>
      </c>
      <c r="H51">
        <v>-4.9000000000000002E-2</v>
      </c>
      <c r="I51">
        <v>0.255</v>
      </c>
    </row>
    <row r="52" spans="1:12" hidden="1" x14ac:dyDescent="0.2">
      <c r="A52" t="s">
        <v>133</v>
      </c>
      <c r="B52" t="s">
        <v>93</v>
      </c>
      <c r="C52" t="s">
        <v>72</v>
      </c>
      <c r="D52">
        <v>4.7E-2</v>
      </c>
      <c r="E52">
        <v>0.183</v>
      </c>
      <c r="F52">
        <v>0.25900000000000001</v>
      </c>
      <c r="G52">
        <v>0.79600000000000004</v>
      </c>
      <c r="H52">
        <v>-0.311</v>
      </c>
      <c r="I52">
        <v>0.40600000000000003</v>
      </c>
    </row>
    <row r="53" spans="1:12" hidden="1" x14ac:dyDescent="0.2">
      <c r="A53" t="s">
        <v>134</v>
      </c>
      <c r="B53" t="s">
        <v>93</v>
      </c>
      <c r="C53" t="s">
        <v>72</v>
      </c>
      <c r="D53">
        <v>-0.26100000000000001</v>
      </c>
      <c r="E53">
        <v>0.39900000000000002</v>
      </c>
      <c r="F53">
        <v>-0.65400000000000003</v>
      </c>
      <c r="G53">
        <v>0.51300000000000001</v>
      </c>
      <c r="H53">
        <v>-1.042</v>
      </c>
      <c r="I53">
        <v>0.52100000000000002</v>
      </c>
    </row>
    <row r="54" spans="1:12" hidden="1" x14ac:dyDescent="0.2">
      <c r="A54" t="s">
        <v>133</v>
      </c>
      <c r="B54" t="s">
        <v>93</v>
      </c>
      <c r="C54" t="s">
        <v>73</v>
      </c>
      <c r="D54">
        <v>1.2E-2</v>
      </c>
      <c r="E54">
        <v>0.104</v>
      </c>
      <c r="F54">
        <v>0.115</v>
      </c>
      <c r="G54">
        <v>0.90900000000000003</v>
      </c>
      <c r="H54">
        <v>-0.192</v>
      </c>
      <c r="I54">
        <v>0.216</v>
      </c>
    </row>
    <row r="55" spans="1:12" hidden="1" x14ac:dyDescent="0.2">
      <c r="A55" t="s">
        <v>134</v>
      </c>
      <c r="B55" t="s">
        <v>93</v>
      </c>
      <c r="C55" t="s">
        <v>73</v>
      </c>
      <c r="D55">
        <v>3.5999999999999997E-2</v>
      </c>
      <c r="E55">
        <v>5.3999999999999999E-2</v>
      </c>
      <c r="F55">
        <v>0.67100000000000004</v>
      </c>
      <c r="G55">
        <v>0.502</v>
      </c>
      <c r="H55">
        <v>-7.0000000000000007E-2</v>
      </c>
      <c r="I55">
        <v>0.14199999999999999</v>
      </c>
    </row>
    <row r="56" spans="1:12" hidden="1" x14ac:dyDescent="0.2">
      <c r="A56" t="s">
        <v>133</v>
      </c>
      <c r="B56" t="s">
        <v>94</v>
      </c>
      <c r="C56" t="s">
        <v>72</v>
      </c>
      <c r="D56">
        <v>1.2999999999999999E-2</v>
      </c>
      <c r="E56">
        <v>0.11</v>
      </c>
      <c r="F56">
        <v>0.114</v>
      </c>
      <c r="G56">
        <v>0.90900000000000003</v>
      </c>
      <c r="H56">
        <v>-0.20200000000000001</v>
      </c>
      <c r="I56">
        <v>0.22800000000000001</v>
      </c>
    </row>
    <row r="57" spans="1:12" hidden="1" x14ac:dyDescent="0.2">
      <c r="A57" t="s">
        <v>134</v>
      </c>
      <c r="B57" t="s">
        <v>94</v>
      </c>
      <c r="C57" t="s">
        <v>72</v>
      </c>
      <c r="D57">
        <v>-1.7000000000000001E-2</v>
      </c>
      <c r="E57">
        <v>0.222</v>
      </c>
      <c r="F57">
        <v>-7.8E-2</v>
      </c>
      <c r="G57">
        <v>0.93799999999999994</v>
      </c>
      <c r="H57">
        <v>-0.45200000000000001</v>
      </c>
      <c r="I57">
        <v>0.41699999999999998</v>
      </c>
    </row>
    <row r="58" spans="1:12" hidden="1" x14ac:dyDescent="0.2">
      <c r="A58" t="s">
        <v>133</v>
      </c>
      <c r="B58" t="s">
        <v>94</v>
      </c>
      <c r="C58" t="s">
        <v>73</v>
      </c>
      <c r="D58">
        <v>0.22600000000000001</v>
      </c>
      <c r="E58">
        <v>0.113</v>
      </c>
      <c r="F58">
        <v>1.994</v>
      </c>
      <c r="G58">
        <v>4.5999999999999999E-2</v>
      </c>
      <c r="H58">
        <v>4.0000000000000001E-3</v>
      </c>
      <c r="I58">
        <v>0.44700000000000001</v>
      </c>
      <c r="L58" t="s">
        <v>36</v>
      </c>
    </row>
    <row r="59" spans="1:12" hidden="1" x14ac:dyDescent="0.2">
      <c r="A59" t="s">
        <v>134</v>
      </c>
      <c r="B59" t="s">
        <v>94</v>
      </c>
      <c r="C59" t="s">
        <v>73</v>
      </c>
      <c r="D59">
        <v>-0.13100000000000001</v>
      </c>
      <c r="E59">
        <v>0.06</v>
      </c>
      <c r="F59">
        <v>-2.1789999999999998</v>
      </c>
      <c r="G59">
        <v>2.9000000000000001E-2</v>
      </c>
      <c r="H59">
        <v>-0.249</v>
      </c>
      <c r="I59">
        <v>-1.2999999999999999E-2</v>
      </c>
      <c r="L59" t="s">
        <v>36</v>
      </c>
    </row>
    <row r="60" spans="1:12" hidden="1" x14ac:dyDescent="0.2">
      <c r="A60" t="s">
        <v>133</v>
      </c>
      <c r="B60" t="s">
        <v>95</v>
      </c>
      <c r="C60" t="s">
        <v>72</v>
      </c>
      <c r="D60">
        <v>1E-3</v>
      </c>
      <c r="E60">
        <v>0.108</v>
      </c>
      <c r="F60">
        <v>1.2999999999999999E-2</v>
      </c>
      <c r="G60">
        <v>0.99</v>
      </c>
      <c r="H60">
        <v>-0.21</v>
      </c>
      <c r="I60">
        <v>0.21299999999999999</v>
      </c>
    </row>
    <row r="61" spans="1:12" hidden="1" x14ac:dyDescent="0.2">
      <c r="A61" t="s">
        <v>134</v>
      </c>
      <c r="B61" t="s">
        <v>95</v>
      </c>
      <c r="C61" t="s">
        <v>72</v>
      </c>
      <c r="D61">
        <v>6.0000000000000001E-3</v>
      </c>
      <c r="E61">
        <v>0.20200000000000001</v>
      </c>
      <c r="F61">
        <v>2.9000000000000001E-2</v>
      </c>
      <c r="G61">
        <v>0.97699999999999998</v>
      </c>
      <c r="H61">
        <v>-0.39</v>
      </c>
      <c r="I61">
        <v>0.40200000000000002</v>
      </c>
    </row>
    <row r="62" spans="1:12" hidden="1" x14ac:dyDescent="0.2">
      <c r="A62" t="s">
        <v>133</v>
      </c>
      <c r="B62" t="s">
        <v>95</v>
      </c>
      <c r="C62" t="s">
        <v>73</v>
      </c>
      <c r="D62">
        <v>-0.16800000000000001</v>
      </c>
      <c r="E62">
        <v>0.10199999999999999</v>
      </c>
      <c r="F62">
        <v>-1.6479999999999999</v>
      </c>
      <c r="G62">
        <v>9.9000000000000005E-2</v>
      </c>
      <c r="H62">
        <v>-0.36799999999999999</v>
      </c>
      <c r="I62">
        <v>3.2000000000000001E-2</v>
      </c>
    </row>
    <row r="63" spans="1:12" hidden="1" x14ac:dyDescent="0.2">
      <c r="A63" t="s">
        <v>134</v>
      </c>
      <c r="B63" t="s">
        <v>95</v>
      </c>
      <c r="C63" t="s">
        <v>73</v>
      </c>
      <c r="D63">
        <v>0.11600000000000001</v>
      </c>
      <c r="E63">
        <v>5.2999999999999999E-2</v>
      </c>
      <c r="F63">
        <v>2.214</v>
      </c>
      <c r="G63">
        <v>2.7E-2</v>
      </c>
      <c r="H63">
        <v>1.2999999999999999E-2</v>
      </c>
      <c r="I63">
        <v>0.219</v>
      </c>
      <c r="L63" t="s">
        <v>36</v>
      </c>
    </row>
    <row r="64" spans="1:12" hidden="1" x14ac:dyDescent="0.2">
      <c r="A64" t="s">
        <v>133</v>
      </c>
      <c r="B64" t="s">
        <v>96</v>
      </c>
      <c r="C64" t="s">
        <v>72</v>
      </c>
      <c r="D64">
        <v>7.6999999999999999E-2</v>
      </c>
      <c r="E64">
        <v>0.128</v>
      </c>
      <c r="F64">
        <v>0.60399999999999998</v>
      </c>
      <c r="G64">
        <v>0.54600000000000004</v>
      </c>
      <c r="H64">
        <v>-0.17299999999999999</v>
      </c>
      <c r="I64">
        <v>0.32800000000000001</v>
      </c>
    </row>
    <row r="65" spans="1:12" hidden="1" x14ac:dyDescent="0.2">
      <c r="A65" t="s">
        <v>134</v>
      </c>
      <c r="B65" t="s">
        <v>96</v>
      </c>
      <c r="C65" t="s">
        <v>72</v>
      </c>
      <c r="D65">
        <v>-0.22700000000000001</v>
      </c>
      <c r="E65">
        <v>0.24199999999999999</v>
      </c>
      <c r="F65">
        <v>-0.93700000000000006</v>
      </c>
      <c r="G65">
        <v>0.34899999999999998</v>
      </c>
      <c r="H65">
        <v>-0.70199999999999996</v>
      </c>
      <c r="I65">
        <v>0.248</v>
      </c>
    </row>
    <row r="66" spans="1:12" hidden="1" x14ac:dyDescent="0.2">
      <c r="A66" t="s">
        <v>133</v>
      </c>
      <c r="B66" t="s">
        <v>96</v>
      </c>
      <c r="C66" t="s">
        <v>73</v>
      </c>
      <c r="D66">
        <v>0.18</v>
      </c>
      <c r="E66">
        <v>8.6999999999999994E-2</v>
      </c>
      <c r="F66">
        <v>2.0699999999999998</v>
      </c>
      <c r="G66">
        <v>3.7999999999999999E-2</v>
      </c>
      <c r="H66">
        <v>0.01</v>
      </c>
      <c r="I66">
        <v>0.35</v>
      </c>
      <c r="L66" t="s">
        <v>36</v>
      </c>
    </row>
    <row r="67" spans="1:12" hidden="1" x14ac:dyDescent="0.2">
      <c r="A67" t="s">
        <v>134</v>
      </c>
      <c r="B67" t="s">
        <v>96</v>
      </c>
      <c r="C67" t="s">
        <v>73</v>
      </c>
      <c r="D67">
        <v>-8.9999999999999993E-3</v>
      </c>
      <c r="E67">
        <v>6.8000000000000005E-2</v>
      </c>
      <c r="F67">
        <v>-0.13100000000000001</v>
      </c>
      <c r="G67">
        <v>0.89600000000000002</v>
      </c>
      <c r="H67">
        <v>-0.14199999999999999</v>
      </c>
      <c r="I67">
        <v>0.125</v>
      </c>
    </row>
    <row r="68" spans="1:12" hidden="1" x14ac:dyDescent="0.2">
      <c r="A68" t="s">
        <v>133</v>
      </c>
      <c r="B68" t="s">
        <v>97</v>
      </c>
      <c r="C68" t="s">
        <v>72</v>
      </c>
      <c r="D68">
        <v>0.105</v>
      </c>
      <c r="E68">
        <v>0.1</v>
      </c>
      <c r="F68">
        <v>1.052</v>
      </c>
      <c r="G68">
        <v>0.29299999999999998</v>
      </c>
      <c r="H68">
        <v>-0.09</v>
      </c>
      <c r="I68">
        <v>0.3</v>
      </c>
    </row>
    <row r="69" spans="1:12" hidden="1" x14ac:dyDescent="0.2">
      <c r="A69" t="s">
        <v>134</v>
      </c>
      <c r="B69" t="s">
        <v>97</v>
      </c>
      <c r="C69" t="s">
        <v>72</v>
      </c>
      <c r="D69">
        <v>2.3E-2</v>
      </c>
      <c r="E69">
        <v>0.153</v>
      </c>
      <c r="F69">
        <v>0.152</v>
      </c>
      <c r="G69">
        <v>0.879</v>
      </c>
      <c r="H69">
        <v>-0.27600000000000002</v>
      </c>
      <c r="I69">
        <v>0.32300000000000001</v>
      </c>
    </row>
    <row r="70" spans="1:12" hidden="1" x14ac:dyDescent="0.2">
      <c r="A70" t="s">
        <v>133</v>
      </c>
      <c r="B70" t="s">
        <v>97</v>
      </c>
      <c r="C70" t="s">
        <v>73</v>
      </c>
      <c r="D70">
        <v>-2.5999999999999999E-2</v>
      </c>
      <c r="E70">
        <v>7.9000000000000001E-2</v>
      </c>
      <c r="F70">
        <v>-0.32300000000000001</v>
      </c>
      <c r="G70">
        <v>0.747</v>
      </c>
      <c r="H70">
        <v>-0.18099999999999999</v>
      </c>
      <c r="I70">
        <v>0.13</v>
      </c>
    </row>
    <row r="71" spans="1:12" hidden="1" x14ac:dyDescent="0.2">
      <c r="A71" t="s">
        <v>134</v>
      </c>
      <c r="B71" t="s">
        <v>97</v>
      </c>
      <c r="C71" t="s">
        <v>73</v>
      </c>
      <c r="D71">
        <v>-5.0999999999999997E-2</v>
      </c>
      <c r="E71">
        <v>4.2999999999999997E-2</v>
      </c>
      <c r="F71">
        <v>-1.1990000000000001</v>
      </c>
      <c r="G71">
        <v>0.23</v>
      </c>
      <c r="H71">
        <v>-0.13500000000000001</v>
      </c>
      <c r="I71">
        <v>3.3000000000000002E-2</v>
      </c>
    </row>
    <row r="72" spans="1:12" hidden="1" x14ac:dyDescent="0.2">
      <c r="A72" t="s">
        <v>133</v>
      </c>
      <c r="B72" t="s">
        <v>98</v>
      </c>
      <c r="C72" t="s">
        <v>72</v>
      </c>
      <c r="D72">
        <v>0.187</v>
      </c>
      <c r="E72">
        <v>0.112</v>
      </c>
      <c r="F72">
        <v>1.67</v>
      </c>
      <c r="G72">
        <v>9.5000000000000001E-2</v>
      </c>
      <c r="H72">
        <v>-3.3000000000000002E-2</v>
      </c>
      <c r="I72">
        <v>0.40799999999999997</v>
      </c>
    </row>
    <row r="73" spans="1:12" hidden="1" x14ac:dyDescent="0.2">
      <c r="A73" t="s">
        <v>134</v>
      </c>
      <c r="B73" t="s">
        <v>98</v>
      </c>
      <c r="C73" t="s">
        <v>72</v>
      </c>
      <c r="D73">
        <v>-0.29699999999999999</v>
      </c>
      <c r="E73">
        <v>0.23200000000000001</v>
      </c>
      <c r="F73">
        <v>-1.2809999999999999</v>
      </c>
      <c r="G73">
        <v>0.2</v>
      </c>
      <c r="H73">
        <v>-0.751</v>
      </c>
      <c r="I73">
        <v>0.157</v>
      </c>
    </row>
    <row r="74" spans="1:12" hidden="1" x14ac:dyDescent="0.2">
      <c r="A74" t="s">
        <v>133</v>
      </c>
      <c r="B74" t="s">
        <v>98</v>
      </c>
      <c r="C74" t="s">
        <v>73</v>
      </c>
      <c r="D74">
        <v>4.8000000000000001E-2</v>
      </c>
      <c r="E74">
        <v>7.0999999999999994E-2</v>
      </c>
      <c r="F74">
        <v>0.67500000000000004</v>
      </c>
      <c r="G74">
        <v>0.499</v>
      </c>
      <c r="H74">
        <v>-9.1999999999999998E-2</v>
      </c>
      <c r="I74">
        <v>0.188</v>
      </c>
    </row>
    <row r="75" spans="1:12" hidden="1" x14ac:dyDescent="0.2">
      <c r="A75" t="s">
        <v>134</v>
      </c>
      <c r="B75" t="s">
        <v>98</v>
      </c>
      <c r="C75" t="s">
        <v>73</v>
      </c>
      <c r="D75">
        <v>-4.4999999999999998E-2</v>
      </c>
      <c r="E75">
        <v>4.5999999999999999E-2</v>
      </c>
      <c r="F75">
        <v>-0.98799999999999999</v>
      </c>
      <c r="G75">
        <v>0.32300000000000001</v>
      </c>
      <c r="H75">
        <v>-0.13400000000000001</v>
      </c>
      <c r="I75">
        <v>4.3999999999999997E-2</v>
      </c>
    </row>
    <row r="76" spans="1:12" hidden="1" x14ac:dyDescent="0.2">
      <c r="B76" t="s">
        <v>99</v>
      </c>
      <c r="J76" t="s">
        <v>12</v>
      </c>
      <c r="K76" t="s">
        <v>12</v>
      </c>
    </row>
    <row r="77" spans="1:12" hidden="1" x14ac:dyDescent="0.2">
      <c r="A77" t="s">
        <v>134</v>
      </c>
      <c r="B77" t="s">
        <v>135</v>
      </c>
      <c r="C77" t="s">
        <v>72</v>
      </c>
      <c r="D77">
        <v>-2.1000000000000001E-2</v>
      </c>
      <c r="E77">
        <v>0.158</v>
      </c>
      <c r="F77">
        <v>-0.13400000000000001</v>
      </c>
      <c r="G77">
        <v>0.89300000000000002</v>
      </c>
      <c r="H77">
        <v>-0.33200000000000002</v>
      </c>
      <c r="I77">
        <v>0.28899999999999998</v>
      </c>
    </row>
    <row r="78" spans="1:12" hidden="1" x14ac:dyDescent="0.2">
      <c r="A78" t="s">
        <v>133</v>
      </c>
      <c r="B78" t="s">
        <v>135</v>
      </c>
      <c r="C78" t="s">
        <v>72</v>
      </c>
      <c r="D78">
        <v>9.8000000000000004E-2</v>
      </c>
      <c r="E78">
        <v>7.2999999999999995E-2</v>
      </c>
      <c r="F78">
        <v>1.3460000000000001</v>
      </c>
      <c r="G78">
        <v>0.17799999999999999</v>
      </c>
      <c r="H78">
        <v>-4.4999999999999998E-2</v>
      </c>
      <c r="I78">
        <v>0.24</v>
      </c>
    </row>
    <row r="79" spans="1:12" hidden="1" x14ac:dyDescent="0.2">
      <c r="A79" t="s">
        <v>133</v>
      </c>
      <c r="B79" t="s">
        <v>135</v>
      </c>
      <c r="C79" t="s">
        <v>73</v>
      </c>
      <c r="D79">
        <v>-1.7000000000000001E-2</v>
      </c>
      <c r="E79">
        <v>6.8000000000000005E-2</v>
      </c>
      <c r="F79">
        <v>-0.25</v>
      </c>
      <c r="G79">
        <v>0.80200000000000005</v>
      </c>
      <c r="H79">
        <v>-0.14899999999999999</v>
      </c>
      <c r="I79">
        <v>0.11600000000000001</v>
      </c>
    </row>
    <row r="80" spans="1:12" hidden="1" x14ac:dyDescent="0.2">
      <c r="A80" t="s">
        <v>134</v>
      </c>
      <c r="B80" t="s">
        <v>135</v>
      </c>
      <c r="C80" t="s">
        <v>73</v>
      </c>
      <c r="D80">
        <v>0.10199999999999999</v>
      </c>
      <c r="E80">
        <v>5.5E-2</v>
      </c>
      <c r="F80">
        <v>1.8440000000000001</v>
      </c>
      <c r="G80">
        <v>6.5000000000000002E-2</v>
      </c>
      <c r="H80">
        <v>-6.0000000000000001E-3</v>
      </c>
      <c r="I80">
        <v>0.21</v>
      </c>
    </row>
    <row r="81" spans="1:12" hidden="1" x14ac:dyDescent="0.2">
      <c r="A81" t="s">
        <v>133</v>
      </c>
      <c r="B81" t="s">
        <v>136</v>
      </c>
      <c r="C81" t="s">
        <v>72</v>
      </c>
      <c r="D81">
        <v>5.2999999999999999E-2</v>
      </c>
      <c r="E81">
        <v>0.13600000000000001</v>
      </c>
      <c r="F81">
        <v>0.39300000000000002</v>
      </c>
      <c r="G81">
        <v>0.69499999999999995</v>
      </c>
      <c r="H81">
        <v>-0.21299999999999999</v>
      </c>
      <c r="I81">
        <v>0.31900000000000001</v>
      </c>
    </row>
    <row r="82" spans="1:12" hidden="1" x14ac:dyDescent="0.2">
      <c r="A82" t="s">
        <v>134</v>
      </c>
      <c r="B82" t="s">
        <v>136</v>
      </c>
      <c r="C82" t="s">
        <v>72</v>
      </c>
      <c r="D82">
        <v>-0.189</v>
      </c>
      <c r="E82">
        <v>0.28799999999999998</v>
      </c>
      <c r="F82">
        <v>-0.65700000000000003</v>
      </c>
      <c r="G82">
        <v>0.51100000000000001</v>
      </c>
      <c r="H82">
        <v>-0.753</v>
      </c>
      <c r="I82">
        <v>0.375</v>
      </c>
    </row>
    <row r="83" spans="1:12" hidden="1" x14ac:dyDescent="0.2">
      <c r="A83" t="s">
        <v>133</v>
      </c>
      <c r="B83" t="s">
        <v>136</v>
      </c>
      <c r="C83" t="s">
        <v>73</v>
      </c>
      <c r="D83">
        <v>0.113</v>
      </c>
      <c r="E83">
        <v>8.7999999999999995E-2</v>
      </c>
      <c r="F83">
        <v>1.284</v>
      </c>
      <c r="G83">
        <v>0.19900000000000001</v>
      </c>
      <c r="H83">
        <v>-5.8999999999999997E-2</v>
      </c>
      <c r="I83">
        <v>0.28399999999999997</v>
      </c>
    </row>
    <row r="84" spans="1:12" hidden="1" x14ac:dyDescent="0.2">
      <c r="A84" t="s">
        <v>134</v>
      </c>
      <c r="B84" t="s">
        <v>136</v>
      </c>
      <c r="C84" t="s">
        <v>73</v>
      </c>
      <c r="D84">
        <v>-0.19</v>
      </c>
      <c r="E84">
        <v>6.7000000000000004E-2</v>
      </c>
      <c r="F84">
        <v>-2.8340000000000001</v>
      </c>
      <c r="G84">
        <v>5.0000000000000001E-3</v>
      </c>
      <c r="H84">
        <v>-0.32100000000000001</v>
      </c>
      <c r="I84">
        <v>-5.8000000000000003E-2</v>
      </c>
      <c r="L84" t="s">
        <v>18</v>
      </c>
    </row>
    <row r="85" spans="1:12" hidden="1" x14ac:dyDescent="0.2">
      <c r="A85" t="s">
        <v>133</v>
      </c>
      <c r="B85" t="s">
        <v>137</v>
      </c>
      <c r="C85" t="s">
        <v>72</v>
      </c>
      <c r="D85">
        <v>-4.0000000000000001E-3</v>
      </c>
      <c r="E85">
        <v>0.11899999999999999</v>
      </c>
      <c r="F85">
        <v>-3.7999999999999999E-2</v>
      </c>
      <c r="G85">
        <v>0.97</v>
      </c>
      <c r="H85">
        <v>-0.23899999999999999</v>
      </c>
      <c r="I85">
        <v>0.23</v>
      </c>
    </row>
    <row r="86" spans="1:12" hidden="1" x14ac:dyDescent="0.2">
      <c r="A86" t="s">
        <v>134</v>
      </c>
      <c r="B86" t="s">
        <v>137</v>
      </c>
      <c r="C86" t="s">
        <v>72</v>
      </c>
      <c r="D86">
        <v>0.12</v>
      </c>
      <c r="E86">
        <v>0.24199999999999999</v>
      </c>
      <c r="F86">
        <v>0.495</v>
      </c>
      <c r="G86">
        <v>0.62</v>
      </c>
      <c r="H86">
        <v>-0.35399999999999998</v>
      </c>
      <c r="I86">
        <v>0.59399999999999997</v>
      </c>
    </row>
    <row r="87" spans="1:12" hidden="1" x14ac:dyDescent="0.2">
      <c r="A87" t="s">
        <v>133</v>
      </c>
      <c r="B87" t="s">
        <v>137</v>
      </c>
      <c r="C87" t="s">
        <v>73</v>
      </c>
      <c r="D87">
        <v>3.9E-2</v>
      </c>
      <c r="E87">
        <v>0.108</v>
      </c>
      <c r="F87">
        <v>0.36099999999999999</v>
      </c>
      <c r="G87">
        <v>0.71799999999999997</v>
      </c>
      <c r="H87">
        <v>-0.17199999999999999</v>
      </c>
      <c r="I87">
        <v>0.25</v>
      </c>
    </row>
    <row r="88" spans="1:12" hidden="1" x14ac:dyDescent="0.2">
      <c r="A88" t="s">
        <v>134</v>
      </c>
      <c r="B88" t="s">
        <v>137</v>
      </c>
      <c r="C88" t="s">
        <v>73</v>
      </c>
      <c r="D88">
        <v>0.10199999999999999</v>
      </c>
      <c r="E88">
        <v>5.5E-2</v>
      </c>
      <c r="F88">
        <v>1.8540000000000001</v>
      </c>
      <c r="G88">
        <v>6.4000000000000001E-2</v>
      </c>
      <c r="H88">
        <v>-6.0000000000000001E-3</v>
      </c>
      <c r="I88">
        <v>0.21099999999999999</v>
      </c>
    </row>
    <row r="89" spans="1:12" hidden="1" x14ac:dyDescent="0.2">
      <c r="A89" t="s">
        <v>133</v>
      </c>
      <c r="B89" t="s">
        <v>138</v>
      </c>
      <c r="C89" t="s">
        <v>72</v>
      </c>
      <c r="D89">
        <v>-6.5000000000000002E-2</v>
      </c>
      <c r="E89">
        <v>9.6000000000000002E-2</v>
      </c>
      <c r="F89">
        <v>-0.67600000000000005</v>
      </c>
      <c r="G89">
        <v>0.499</v>
      </c>
      <c r="H89">
        <v>-0.253</v>
      </c>
      <c r="I89">
        <v>0.123</v>
      </c>
    </row>
    <row r="90" spans="1:12" hidden="1" x14ac:dyDescent="0.2">
      <c r="A90" t="s">
        <v>134</v>
      </c>
      <c r="B90" t="s">
        <v>138</v>
      </c>
      <c r="C90" t="s">
        <v>72</v>
      </c>
      <c r="D90">
        <v>-6.0000000000000001E-3</v>
      </c>
      <c r="E90">
        <v>0.19800000000000001</v>
      </c>
      <c r="F90">
        <v>-3.1E-2</v>
      </c>
      <c r="G90">
        <v>0.97499999999999998</v>
      </c>
      <c r="H90">
        <v>-0.39400000000000002</v>
      </c>
      <c r="I90">
        <v>0.38200000000000001</v>
      </c>
    </row>
    <row r="91" spans="1:12" hidden="1" x14ac:dyDescent="0.2">
      <c r="A91" t="s">
        <v>133</v>
      </c>
      <c r="B91" t="s">
        <v>138</v>
      </c>
      <c r="C91" t="s">
        <v>73</v>
      </c>
      <c r="D91">
        <v>8.4000000000000005E-2</v>
      </c>
      <c r="E91">
        <v>0.111</v>
      </c>
      <c r="F91">
        <v>0.75600000000000001</v>
      </c>
      <c r="G91">
        <v>0.45</v>
      </c>
      <c r="H91">
        <v>-0.13300000000000001</v>
      </c>
      <c r="I91">
        <v>0.30099999999999999</v>
      </c>
    </row>
    <row r="92" spans="1:12" hidden="1" x14ac:dyDescent="0.2">
      <c r="A92" t="s">
        <v>134</v>
      </c>
      <c r="B92" t="s">
        <v>138</v>
      </c>
      <c r="C92" t="s">
        <v>73</v>
      </c>
      <c r="D92">
        <v>-3.1E-2</v>
      </c>
      <c r="E92">
        <v>5.3999999999999999E-2</v>
      </c>
      <c r="F92">
        <v>-0.57099999999999995</v>
      </c>
      <c r="G92">
        <v>0.56799999999999995</v>
      </c>
      <c r="H92">
        <v>-0.13700000000000001</v>
      </c>
      <c r="I92">
        <v>7.4999999999999997E-2</v>
      </c>
    </row>
    <row r="93" spans="1:12" hidden="1" x14ac:dyDescent="0.2">
      <c r="A93" t="s">
        <v>133</v>
      </c>
      <c r="B93" t="s">
        <v>139</v>
      </c>
      <c r="C93" t="s">
        <v>72</v>
      </c>
      <c r="D93">
        <v>-1.7999999999999999E-2</v>
      </c>
      <c r="E93">
        <v>7.5999999999999998E-2</v>
      </c>
      <c r="F93">
        <v>-0.23200000000000001</v>
      </c>
      <c r="G93">
        <v>0.81699999999999995</v>
      </c>
      <c r="H93">
        <v>-0.16800000000000001</v>
      </c>
      <c r="I93">
        <v>0.13200000000000001</v>
      </c>
    </row>
    <row r="94" spans="1:12" hidden="1" x14ac:dyDescent="0.2">
      <c r="A94" t="s">
        <v>134</v>
      </c>
      <c r="B94" t="s">
        <v>139</v>
      </c>
      <c r="C94" t="s">
        <v>72</v>
      </c>
      <c r="D94">
        <v>0.108</v>
      </c>
      <c r="E94">
        <v>0.125</v>
      </c>
      <c r="F94">
        <v>0.86899999999999999</v>
      </c>
      <c r="G94">
        <v>0.38500000000000001</v>
      </c>
      <c r="H94">
        <v>-0.13600000000000001</v>
      </c>
      <c r="I94">
        <v>0.35199999999999998</v>
      </c>
    </row>
    <row r="95" spans="1:12" hidden="1" x14ac:dyDescent="0.2">
      <c r="A95" t="s">
        <v>133</v>
      </c>
      <c r="B95" t="s">
        <v>139</v>
      </c>
      <c r="C95" t="s">
        <v>73</v>
      </c>
      <c r="D95">
        <v>-2.4E-2</v>
      </c>
      <c r="E95">
        <v>0.109</v>
      </c>
      <c r="F95">
        <v>-0.217</v>
      </c>
      <c r="G95">
        <v>0.82799999999999996</v>
      </c>
      <c r="H95">
        <v>-0.23599999999999999</v>
      </c>
      <c r="I95">
        <v>0.189</v>
      </c>
    </row>
    <row r="96" spans="1:12" hidden="1" x14ac:dyDescent="0.2">
      <c r="A96" t="s">
        <v>134</v>
      </c>
      <c r="B96" t="s">
        <v>139</v>
      </c>
      <c r="C96" t="s">
        <v>73</v>
      </c>
      <c r="D96">
        <v>3.5999999999999997E-2</v>
      </c>
      <c r="E96">
        <v>5.1999999999999998E-2</v>
      </c>
      <c r="F96">
        <v>0.68899999999999995</v>
      </c>
      <c r="G96">
        <v>0.49099999999999999</v>
      </c>
      <c r="H96">
        <v>-6.6000000000000003E-2</v>
      </c>
      <c r="I96">
        <v>0.13700000000000001</v>
      </c>
    </row>
    <row r="97" spans="1:12" hidden="1" x14ac:dyDescent="0.2">
      <c r="A97" t="s">
        <v>133</v>
      </c>
      <c r="B97" t="s">
        <v>140</v>
      </c>
      <c r="C97" t="s">
        <v>72</v>
      </c>
      <c r="D97">
        <v>3.9E-2</v>
      </c>
      <c r="E97">
        <v>9.0999999999999998E-2</v>
      </c>
      <c r="F97">
        <v>0.42899999999999999</v>
      </c>
      <c r="G97">
        <v>0.66800000000000004</v>
      </c>
      <c r="H97">
        <v>-0.14000000000000001</v>
      </c>
      <c r="I97">
        <v>0.218</v>
      </c>
    </row>
    <row r="98" spans="1:12" hidden="1" x14ac:dyDescent="0.2">
      <c r="A98" t="s">
        <v>134</v>
      </c>
      <c r="B98" t="s">
        <v>140</v>
      </c>
      <c r="C98" t="s">
        <v>72</v>
      </c>
      <c r="D98">
        <v>-8.5000000000000006E-2</v>
      </c>
      <c r="E98">
        <v>0.17100000000000001</v>
      </c>
      <c r="F98">
        <v>-0.49299999999999999</v>
      </c>
      <c r="G98">
        <v>0.622</v>
      </c>
      <c r="H98">
        <v>-0.42</v>
      </c>
      <c r="I98">
        <v>0.251</v>
      </c>
    </row>
    <row r="99" spans="1:12" hidden="1" x14ac:dyDescent="0.2">
      <c r="A99" t="s">
        <v>133</v>
      </c>
      <c r="B99" t="s">
        <v>140</v>
      </c>
      <c r="C99" t="s">
        <v>73</v>
      </c>
      <c r="D99">
        <v>-2.3E-2</v>
      </c>
      <c r="E99">
        <v>9.8000000000000004E-2</v>
      </c>
      <c r="F99">
        <v>-0.23599999999999999</v>
      </c>
      <c r="G99">
        <v>0.81299999999999994</v>
      </c>
      <c r="H99">
        <v>-0.216</v>
      </c>
      <c r="I99">
        <v>0.17</v>
      </c>
    </row>
    <row r="100" spans="1:12" hidden="1" x14ac:dyDescent="0.2">
      <c r="A100" t="s">
        <v>134</v>
      </c>
      <c r="B100" t="s">
        <v>140</v>
      </c>
      <c r="C100" t="s">
        <v>73</v>
      </c>
      <c r="D100">
        <v>8.1000000000000003E-2</v>
      </c>
      <c r="E100">
        <v>6.0999999999999999E-2</v>
      </c>
      <c r="F100">
        <v>1.321</v>
      </c>
      <c r="G100">
        <v>0.186</v>
      </c>
      <c r="H100">
        <v>-3.9E-2</v>
      </c>
      <c r="I100">
        <v>0.20100000000000001</v>
      </c>
    </row>
    <row r="101" spans="1:12" hidden="1" x14ac:dyDescent="0.2">
      <c r="A101" t="s">
        <v>133</v>
      </c>
      <c r="B101" t="s">
        <v>141</v>
      </c>
      <c r="C101" t="s">
        <v>72</v>
      </c>
      <c r="D101">
        <v>0.14699999999999999</v>
      </c>
      <c r="E101">
        <v>7.0999999999999994E-2</v>
      </c>
      <c r="F101">
        <v>2.0830000000000002</v>
      </c>
      <c r="G101">
        <v>3.6999999999999998E-2</v>
      </c>
      <c r="H101">
        <v>8.9999999999999993E-3</v>
      </c>
      <c r="I101">
        <v>0.28599999999999998</v>
      </c>
      <c r="L101" t="s">
        <v>36</v>
      </c>
    </row>
    <row r="102" spans="1:12" hidden="1" x14ac:dyDescent="0.2">
      <c r="A102" t="s">
        <v>134</v>
      </c>
      <c r="B102" t="s">
        <v>141</v>
      </c>
      <c r="C102" t="s">
        <v>72</v>
      </c>
      <c r="D102">
        <v>-0.26300000000000001</v>
      </c>
      <c r="E102">
        <v>0.109</v>
      </c>
      <c r="F102">
        <v>-2.4060000000000001</v>
      </c>
      <c r="G102">
        <v>1.6E-2</v>
      </c>
      <c r="H102">
        <v>-0.47599999999999998</v>
      </c>
      <c r="I102">
        <v>-4.9000000000000002E-2</v>
      </c>
      <c r="L102" t="s">
        <v>36</v>
      </c>
    </row>
    <row r="103" spans="1:12" hidden="1" x14ac:dyDescent="0.2">
      <c r="A103" t="s">
        <v>133</v>
      </c>
      <c r="B103" t="s">
        <v>141</v>
      </c>
      <c r="C103" t="s">
        <v>73</v>
      </c>
      <c r="D103">
        <v>0.18099999999999999</v>
      </c>
      <c r="E103">
        <v>9.5000000000000001E-2</v>
      </c>
      <c r="F103">
        <v>1.901</v>
      </c>
      <c r="G103">
        <v>5.7000000000000002E-2</v>
      </c>
      <c r="H103">
        <v>-6.0000000000000001E-3</v>
      </c>
      <c r="I103">
        <v>0.36799999999999999</v>
      </c>
    </row>
    <row r="104" spans="1:12" hidden="1" x14ac:dyDescent="0.2">
      <c r="A104" t="s">
        <v>134</v>
      </c>
      <c r="B104" t="s">
        <v>141</v>
      </c>
      <c r="C104" t="s">
        <v>73</v>
      </c>
      <c r="D104">
        <v>-3.5000000000000003E-2</v>
      </c>
      <c r="E104">
        <v>5.8999999999999997E-2</v>
      </c>
      <c r="F104">
        <v>-0.59099999999999997</v>
      </c>
      <c r="G104">
        <v>0.55500000000000005</v>
      </c>
      <c r="H104">
        <v>-0.14899999999999999</v>
      </c>
      <c r="I104">
        <v>0.08</v>
      </c>
    </row>
    <row r="105" spans="1:12" hidden="1" x14ac:dyDescent="0.2">
      <c r="A105" t="s">
        <v>133</v>
      </c>
      <c r="B105" t="s">
        <v>142</v>
      </c>
      <c r="C105" t="s">
        <v>72</v>
      </c>
      <c r="D105">
        <v>-1E-3</v>
      </c>
      <c r="E105">
        <v>0.104</v>
      </c>
      <c r="F105">
        <v>-8.0000000000000002E-3</v>
      </c>
      <c r="G105">
        <v>0.99399999999999999</v>
      </c>
      <c r="H105">
        <v>-0.20499999999999999</v>
      </c>
      <c r="I105">
        <v>0.20399999999999999</v>
      </c>
    </row>
    <row r="106" spans="1:12" hidden="1" x14ac:dyDescent="0.2">
      <c r="A106" t="s">
        <v>134</v>
      </c>
      <c r="B106" t="s">
        <v>142</v>
      </c>
      <c r="C106" t="s">
        <v>72</v>
      </c>
      <c r="D106">
        <v>0.152</v>
      </c>
      <c r="E106">
        <v>0.16400000000000001</v>
      </c>
      <c r="F106">
        <v>0.92200000000000004</v>
      </c>
      <c r="G106">
        <v>0.35599999999999998</v>
      </c>
      <c r="H106">
        <v>-0.17100000000000001</v>
      </c>
      <c r="I106">
        <v>0.47399999999999998</v>
      </c>
    </row>
    <row r="107" spans="1:12" hidden="1" x14ac:dyDescent="0.2">
      <c r="A107" t="s">
        <v>133</v>
      </c>
      <c r="B107" t="s">
        <v>142</v>
      </c>
      <c r="C107" t="s">
        <v>73</v>
      </c>
      <c r="D107">
        <v>0.11700000000000001</v>
      </c>
      <c r="E107">
        <v>0.09</v>
      </c>
      <c r="F107">
        <v>1.2949999999999999</v>
      </c>
      <c r="G107">
        <v>0.19500000000000001</v>
      </c>
      <c r="H107">
        <v>-0.06</v>
      </c>
      <c r="I107">
        <v>0.29399999999999998</v>
      </c>
    </row>
    <row r="108" spans="1:12" hidden="1" x14ac:dyDescent="0.2">
      <c r="A108" t="s">
        <v>134</v>
      </c>
      <c r="B108" t="s">
        <v>142</v>
      </c>
      <c r="C108" t="s">
        <v>73</v>
      </c>
      <c r="D108">
        <v>-0.13300000000000001</v>
      </c>
      <c r="E108">
        <v>6.2E-2</v>
      </c>
      <c r="F108">
        <v>-2.161</v>
      </c>
      <c r="G108">
        <v>3.1E-2</v>
      </c>
      <c r="H108">
        <v>-0.254</v>
      </c>
      <c r="I108">
        <v>-1.2E-2</v>
      </c>
      <c r="L108" t="s">
        <v>36</v>
      </c>
    </row>
    <row r="109" spans="1:12" hidden="1" x14ac:dyDescent="0.2">
      <c r="A109" t="s">
        <v>133</v>
      </c>
      <c r="B109" t="s">
        <v>143</v>
      </c>
      <c r="C109" t="s">
        <v>72</v>
      </c>
      <c r="D109">
        <v>-1.9E-2</v>
      </c>
      <c r="E109">
        <v>7.4999999999999997E-2</v>
      </c>
      <c r="F109">
        <v>-0.254</v>
      </c>
      <c r="G109">
        <v>0.8</v>
      </c>
      <c r="H109">
        <v>-0.16600000000000001</v>
      </c>
      <c r="I109">
        <v>0.128</v>
      </c>
    </row>
    <row r="110" spans="1:12" hidden="1" x14ac:dyDescent="0.2">
      <c r="A110" t="s">
        <v>134</v>
      </c>
      <c r="B110" t="s">
        <v>143</v>
      </c>
      <c r="C110" t="s">
        <v>72</v>
      </c>
      <c r="D110">
        <v>-0.105</v>
      </c>
      <c r="E110">
        <v>0.13600000000000001</v>
      </c>
      <c r="F110">
        <v>-0.77100000000000002</v>
      </c>
      <c r="G110">
        <v>0.44</v>
      </c>
      <c r="H110">
        <v>-0.372</v>
      </c>
      <c r="I110">
        <v>0.16200000000000001</v>
      </c>
    </row>
    <row r="111" spans="1:12" hidden="1" x14ac:dyDescent="0.2">
      <c r="A111" t="s">
        <v>133</v>
      </c>
      <c r="B111" t="s">
        <v>143</v>
      </c>
      <c r="C111" t="s">
        <v>73</v>
      </c>
      <c r="D111">
        <v>0.02</v>
      </c>
      <c r="E111">
        <v>0.08</v>
      </c>
      <c r="F111">
        <v>0.25700000000000001</v>
      </c>
      <c r="G111">
        <v>0.79700000000000004</v>
      </c>
      <c r="H111">
        <v>-0.13500000000000001</v>
      </c>
      <c r="I111">
        <v>0.17599999999999999</v>
      </c>
    </row>
    <row r="112" spans="1:12" hidden="1" x14ac:dyDescent="0.2">
      <c r="A112" t="s">
        <v>134</v>
      </c>
      <c r="B112" t="s">
        <v>143</v>
      </c>
      <c r="C112" t="s">
        <v>73</v>
      </c>
      <c r="D112">
        <v>-7.0000000000000007E-2</v>
      </c>
      <c r="E112">
        <v>5.6000000000000001E-2</v>
      </c>
      <c r="F112">
        <v>-1.2509999999999999</v>
      </c>
      <c r="G112">
        <v>0.21099999999999999</v>
      </c>
      <c r="H112">
        <v>-0.17899999999999999</v>
      </c>
      <c r="I112">
        <v>0.04</v>
      </c>
    </row>
    <row r="113" spans="1:12" hidden="1" x14ac:dyDescent="0.2">
      <c r="B113" t="s">
        <v>101</v>
      </c>
      <c r="J113" t="s">
        <v>70</v>
      </c>
      <c r="K113" t="s">
        <v>144</v>
      </c>
    </row>
    <row r="114" spans="1:12" hidden="1" x14ac:dyDescent="0.2">
      <c r="A114" t="s">
        <v>134</v>
      </c>
      <c r="B114" t="s">
        <v>103</v>
      </c>
      <c r="C114" t="s">
        <v>72</v>
      </c>
      <c r="D114">
        <v>-4.3999999999999997E-2</v>
      </c>
      <c r="E114">
        <v>5.8999999999999997E-2</v>
      </c>
      <c r="F114">
        <v>-0.749</v>
      </c>
      <c r="G114">
        <v>0.45400000000000001</v>
      </c>
      <c r="H114">
        <v>-0.16</v>
      </c>
      <c r="I114">
        <v>7.1999999999999995E-2</v>
      </c>
    </row>
    <row r="115" spans="1:12" hidden="1" x14ac:dyDescent="0.2">
      <c r="A115" t="s">
        <v>133</v>
      </c>
      <c r="B115" t="s">
        <v>103</v>
      </c>
      <c r="C115" t="s">
        <v>72</v>
      </c>
      <c r="D115">
        <v>1.7999999999999999E-2</v>
      </c>
      <c r="E115">
        <v>5.3999999999999999E-2</v>
      </c>
      <c r="F115">
        <v>0.32500000000000001</v>
      </c>
      <c r="G115">
        <v>0.745</v>
      </c>
      <c r="H115">
        <v>-8.7999999999999995E-2</v>
      </c>
      <c r="I115">
        <v>0.123</v>
      </c>
    </row>
    <row r="116" spans="1:12" hidden="1" x14ac:dyDescent="0.2">
      <c r="A116" t="s">
        <v>133</v>
      </c>
      <c r="B116" t="s">
        <v>103</v>
      </c>
      <c r="C116" t="s">
        <v>73</v>
      </c>
      <c r="D116">
        <v>0</v>
      </c>
      <c r="E116">
        <v>6.6000000000000003E-2</v>
      </c>
      <c r="F116">
        <v>5.0000000000000001E-3</v>
      </c>
      <c r="G116">
        <v>0.996</v>
      </c>
      <c r="H116">
        <v>-0.129</v>
      </c>
      <c r="I116">
        <v>0.13</v>
      </c>
    </row>
    <row r="117" spans="1:12" hidden="1" x14ac:dyDescent="0.2">
      <c r="A117" t="s">
        <v>134</v>
      </c>
      <c r="B117" t="s">
        <v>103</v>
      </c>
      <c r="C117" t="s">
        <v>73</v>
      </c>
      <c r="D117">
        <v>0.02</v>
      </c>
      <c r="E117">
        <v>3.6999999999999998E-2</v>
      </c>
      <c r="F117">
        <v>0.53200000000000003</v>
      </c>
      <c r="G117">
        <v>0.59499999999999997</v>
      </c>
      <c r="H117">
        <v>-5.1999999999999998E-2</v>
      </c>
      <c r="I117">
        <v>9.1999999999999998E-2</v>
      </c>
    </row>
    <row r="118" spans="1:12" hidden="1" x14ac:dyDescent="0.2">
      <c r="A118" t="s">
        <v>133</v>
      </c>
      <c r="B118" t="s">
        <v>104</v>
      </c>
      <c r="C118" t="s">
        <v>72</v>
      </c>
      <c r="D118">
        <v>0.122</v>
      </c>
      <c r="E118">
        <v>6.9000000000000006E-2</v>
      </c>
      <c r="F118">
        <v>1.7649999999999999</v>
      </c>
      <c r="G118">
        <v>7.8E-2</v>
      </c>
      <c r="H118">
        <v>-1.4E-2</v>
      </c>
      <c r="I118">
        <v>0.25800000000000001</v>
      </c>
    </row>
    <row r="119" spans="1:12" hidden="1" x14ac:dyDescent="0.2">
      <c r="A119" t="s">
        <v>134</v>
      </c>
      <c r="B119" t="s">
        <v>104</v>
      </c>
      <c r="C119" t="s">
        <v>72</v>
      </c>
      <c r="D119">
        <v>-5.6000000000000001E-2</v>
      </c>
      <c r="E119">
        <v>8.5000000000000006E-2</v>
      </c>
      <c r="F119">
        <v>-0.66400000000000003</v>
      </c>
      <c r="G119">
        <v>0.50700000000000001</v>
      </c>
      <c r="H119">
        <v>-0.222</v>
      </c>
      <c r="I119">
        <v>0.11</v>
      </c>
    </row>
    <row r="120" spans="1:12" hidden="1" x14ac:dyDescent="0.2">
      <c r="A120" t="s">
        <v>133</v>
      </c>
      <c r="B120" t="s">
        <v>104</v>
      </c>
      <c r="C120" t="s">
        <v>73</v>
      </c>
      <c r="D120">
        <v>0.377</v>
      </c>
      <c r="E120">
        <v>5.3999999999999999E-2</v>
      </c>
      <c r="F120">
        <v>7.0469999999999997</v>
      </c>
      <c r="G120">
        <v>0</v>
      </c>
      <c r="H120">
        <v>0.27200000000000002</v>
      </c>
      <c r="I120">
        <v>0.48199999999999998</v>
      </c>
      <c r="L120" t="s">
        <v>13</v>
      </c>
    </row>
    <row r="121" spans="1:12" hidden="1" x14ac:dyDescent="0.2">
      <c r="A121" t="s">
        <v>134</v>
      </c>
      <c r="B121" t="s">
        <v>104</v>
      </c>
      <c r="C121" t="s">
        <v>73</v>
      </c>
      <c r="D121">
        <v>-0.32700000000000001</v>
      </c>
      <c r="E121">
        <v>8.8999999999999996E-2</v>
      </c>
      <c r="F121">
        <v>-3.694</v>
      </c>
      <c r="G121">
        <v>0</v>
      </c>
      <c r="H121">
        <v>-0.501</v>
      </c>
      <c r="I121">
        <v>-0.154</v>
      </c>
      <c r="L121" t="s">
        <v>13</v>
      </c>
    </row>
    <row r="122" spans="1:12" hidden="1" x14ac:dyDescent="0.2">
      <c r="A122" t="s">
        <v>133</v>
      </c>
      <c r="B122" t="s">
        <v>105</v>
      </c>
      <c r="C122" t="s">
        <v>72</v>
      </c>
      <c r="D122">
        <v>1.7999999999999999E-2</v>
      </c>
      <c r="E122">
        <v>6.3E-2</v>
      </c>
      <c r="F122">
        <v>0.28799999999999998</v>
      </c>
      <c r="G122">
        <v>0.77300000000000002</v>
      </c>
      <c r="H122">
        <v>-0.105</v>
      </c>
      <c r="I122">
        <v>0.14099999999999999</v>
      </c>
    </row>
    <row r="123" spans="1:12" hidden="1" x14ac:dyDescent="0.2">
      <c r="A123" t="s">
        <v>134</v>
      </c>
      <c r="B123" t="s">
        <v>105</v>
      </c>
      <c r="C123" t="s">
        <v>72</v>
      </c>
      <c r="D123">
        <v>9.0999999999999998E-2</v>
      </c>
      <c r="E123">
        <v>0.11600000000000001</v>
      </c>
      <c r="F123">
        <v>0.79100000000000004</v>
      </c>
      <c r="G123">
        <v>0.42899999999999999</v>
      </c>
      <c r="H123">
        <v>-0.13500000000000001</v>
      </c>
      <c r="I123">
        <v>0.318</v>
      </c>
    </row>
    <row r="124" spans="1:12" hidden="1" x14ac:dyDescent="0.2">
      <c r="A124" t="s">
        <v>133</v>
      </c>
      <c r="B124" t="s">
        <v>105</v>
      </c>
      <c r="C124" t="s">
        <v>73</v>
      </c>
      <c r="D124">
        <v>5.5E-2</v>
      </c>
      <c r="E124">
        <v>5.8999999999999997E-2</v>
      </c>
      <c r="F124">
        <v>0.93200000000000005</v>
      </c>
      <c r="G124">
        <v>0.35199999999999998</v>
      </c>
      <c r="H124">
        <v>-6.0999999999999999E-2</v>
      </c>
      <c r="I124">
        <v>0.17100000000000001</v>
      </c>
    </row>
    <row r="125" spans="1:12" hidden="1" x14ac:dyDescent="0.2">
      <c r="A125" t="s">
        <v>134</v>
      </c>
      <c r="B125" t="s">
        <v>105</v>
      </c>
      <c r="C125" t="s">
        <v>73</v>
      </c>
      <c r="D125">
        <v>0.123</v>
      </c>
      <c r="E125">
        <v>7.9000000000000001E-2</v>
      </c>
      <c r="F125">
        <v>1.552</v>
      </c>
      <c r="G125">
        <v>0.121</v>
      </c>
      <c r="H125">
        <v>-3.2000000000000001E-2</v>
      </c>
      <c r="I125">
        <v>0.27700000000000002</v>
      </c>
    </row>
    <row r="126" spans="1:12" hidden="1" x14ac:dyDescent="0.2">
      <c r="A126" t="s">
        <v>133</v>
      </c>
      <c r="B126" t="s">
        <v>106</v>
      </c>
      <c r="C126" t="s">
        <v>72</v>
      </c>
      <c r="D126">
        <v>-3.1E-2</v>
      </c>
      <c r="E126">
        <v>4.5999999999999999E-2</v>
      </c>
      <c r="F126">
        <v>-0.67200000000000004</v>
      </c>
      <c r="G126">
        <v>0.502</v>
      </c>
      <c r="H126">
        <v>-0.12</v>
      </c>
      <c r="I126">
        <v>5.8999999999999997E-2</v>
      </c>
    </row>
    <row r="127" spans="1:12" hidden="1" x14ac:dyDescent="0.2">
      <c r="A127" t="s">
        <v>134</v>
      </c>
      <c r="B127" t="s">
        <v>106</v>
      </c>
      <c r="C127" t="s">
        <v>72</v>
      </c>
      <c r="D127">
        <v>2.7E-2</v>
      </c>
      <c r="E127">
        <v>7.8E-2</v>
      </c>
      <c r="F127">
        <v>0.34399999999999997</v>
      </c>
      <c r="G127">
        <v>0.73099999999999998</v>
      </c>
      <c r="H127">
        <v>-0.126</v>
      </c>
      <c r="I127">
        <v>0.17899999999999999</v>
      </c>
    </row>
    <row r="128" spans="1:12" hidden="1" x14ac:dyDescent="0.2">
      <c r="A128" t="s">
        <v>133</v>
      </c>
      <c r="B128" t="s">
        <v>106</v>
      </c>
      <c r="C128" t="s">
        <v>73</v>
      </c>
      <c r="D128">
        <v>7.2999999999999995E-2</v>
      </c>
      <c r="E128">
        <v>5.8999999999999997E-2</v>
      </c>
      <c r="F128">
        <v>1.25</v>
      </c>
      <c r="G128">
        <v>0.21099999999999999</v>
      </c>
      <c r="H128">
        <v>-4.2000000000000003E-2</v>
      </c>
      <c r="I128">
        <v>0.188</v>
      </c>
    </row>
    <row r="129" spans="1:12" hidden="1" x14ac:dyDescent="0.2">
      <c r="A129" t="s">
        <v>134</v>
      </c>
      <c r="B129" t="s">
        <v>106</v>
      </c>
      <c r="C129" t="s">
        <v>73</v>
      </c>
      <c r="D129">
        <v>7.9000000000000001E-2</v>
      </c>
      <c r="E129">
        <v>6.2E-2</v>
      </c>
      <c r="F129">
        <v>1.28</v>
      </c>
      <c r="G129">
        <v>0.20100000000000001</v>
      </c>
      <c r="H129">
        <v>-4.2000000000000003E-2</v>
      </c>
      <c r="I129">
        <v>0.2</v>
      </c>
    </row>
    <row r="130" spans="1:12" hidden="1" x14ac:dyDescent="0.2">
      <c r="A130" t="s">
        <v>133</v>
      </c>
      <c r="B130" t="s">
        <v>107</v>
      </c>
      <c r="C130" t="s">
        <v>72</v>
      </c>
      <c r="D130">
        <v>0.42</v>
      </c>
      <c r="E130">
        <v>8.3000000000000004E-2</v>
      </c>
      <c r="F130">
        <v>5.0570000000000004</v>
      </c>
      <c r="G130">
        <v>0</v>
      </c>
      <c r="H130">
        <v>0.25700000000000001</v>
      </c>
      <c r="I130">
        <v>0.58299999999999996</v>
      </c>
      <c r="L130" t="s">
        <v>13</v>
      </c>
    </row>
    <row r="131" spans="1:12" hidden="1" x14ac:dyDescent="0.2">
      <c r="A131" t="s">
        <v>134</v>
      </c>
      <c r="B131" t="s">
        <v>107</v>
      </c>
      <c r="C131" t="s">
        <v>72</v>
      </c>
      <c r="D131">
        <v>-0.53400000000000003</v>
      </c>
      <c r="E131">
        <v>0.114</v>
      </c>
      <c r="F131">
        <v>-4.6989999999999998</v>
      </c>
      <c r="G131">
        <v>0</v>
      </c>
      <c r="H131">
        <v>-0.75700000000000001</v>
      </c>
      <c r="I131">
        <v>-0.311</v>
      </c>
      <c r="L131" t="s">
        <v>13</v>
      </c>
    </row>
    <row r="132" spans="1:12" hidden="1" x14ac:dyDescent="0.2">
      <c r="A132" t="s">
        <v>133</v>
      </c>
      <c r="B132" t="s">
        <v>107</v>
      </c>
      <c r="C132" t="s">
        <v>73</v>
      </c>
      <c r="D132">
        <v>0.17100000000000001</v>
      </c>
      <c r="E132">
        <v>5.8000000000000003E-2</v>
      </c>
      <c r="F132">
        <v>2.948</v>
      </c>
      <c r="G132">
        <v>3.0000000000000001E-3</v>
      </c>
      <c r="H132">
        <v>5.7000000000000002E-2</v>
      </c>
      <c r="I132">
        <v>0.28399999999999997</v>
      </c>
      <c r="L132" t="s">
        <v>18</v>
      </c>
    </row>
    <row r="133" spans="1:12" hidden="1" x14ac:dyDescent="0.2">
      <c r="A133" t="s">
        <v>134</v>
      </c>
      <c r="B133" t="s">
        <v>107</v>
      </c>
      <c r="C133" t="s">
        <v>73</v>
      </c>
      <c r="D133">
        <v>-7.0999999999999994E-2</v>
      </c>
      <c r="E133">
        <v>7.9000000000000001E-2</v>
      </c>
      <c r="F133">
        <v>-0.89500000000000002</v>
      </c>
      <c r="G133">
        <v>0.371</v>
      </c>
      <c r="H133">
        <v>-0.22700000000000001</v>
      </c>
      <c r="I133">
        <v>8.5000000000000006E-2</v>
      </c>
    </row>
    <row r="134" spans="1:12" hidden="1" x14ac:dyDescent="0.2">
      <c r="A134" t="s">
        <v>133</v>
      </c>
      <c r="B134" t="s">
        <v>108</v>
      </c>
      <c r="C134" t="s">
        <v>72</v>
      </c>
      <c r="D134">
        <v>-0.10199999999999999</v>
      </c>
      <c r="E134">
        <v>4.2999999999999997E-2</v>
      </c>
      <c r="F134">
        <v>-2.3530000000000002</v>
      </c>
      <c r="G134">
        <v>1.9E-2</v>
      </c>
      <c r="H134">
        <v>-0.188</v>
      </c>
      <c r="I134">
        <v>-1.7000000000000001E-2</v>
      </c>
      <c r="L134" t="s">
        <v>36</v>
      </c>
    </row>
    <row r="135" spans="1:12" hidden="1" x14ac:dyDescent="0.2">
      <c r="A135" t="s">
        <v>134</v>
      </c>
      <c r="B135" t="s">
        <v>108</v>
      </c>
      <c r="C135" t="s">
        <v>72</v>
      </c>
      <c r="D135">
        <v>0.14299999999999999</v>
      </c>
      <c r="E135">
        <v>6.6000000000000003E-2</v>
      </c>
      <c r="F135">
        <v>2.157</v>
      </c>
      <c r="G135">
        <v>3.1E-2</v>
      </c>
      <c r="H135">
        <v>1.2999999999999999E-2</v>
      </c>
      <c r="I135">
        <v>0.27200000000000002</v>
      </c>
      <c r="L135" t="s">
        <v>36</v>
      </c>
    </row>
    <row r="136" spans="1:12" hidden="1" x14ac:dyDescent="0.2">
      <c r="A136" t="s">
        <v>133</v>
      </c>
      <c r="B136" t="s">
        <v>108</v>
      </c>
      <c r="C136" t="s">
        <v>73</v>
      </c>
      <c r="D136">
        <v>4.1000000000000002E-2</v>
      </c>
      <c r="E136">
        <v>5.8000000000000003E-2</v>
      </c>
      <c r="F136">
        <v>0.70699999999999996</v>
      </c>
      <c r="G136">
        <v>0.47899999999999998</v>
      </c>
      <c r="H136">
        <v>-7.1999999999999995E-2</v>
      </c>
      <c r="I136">
        <v>0.154</v>
      </c>
    </row>
    <row r="137" spans="1:12" hidden="1" x14ac:dyDescent="0.2">
      <c r="A137" t="s">
        <v>134</v>
      </c>
      <c r="B137" t="s">
        <v>108</v>
      </c>
      <c r="C137" t="s">
        <v>73</v>
      </c>
      <c r="D137">
        <v>0.13700000000000001</v>
      </c>
      <c r="E137">
        <v>7.8E-2</v>
      </c>
      <c r="F137">
        <v>1.7669999999999999</v>
      </c>
      <c r="G137">
        <v>7.6999999999999999E-2</v>
      </c>
      <c r="H137">
        <v>-1.4999999999999999E-2</v>
      </c>
      <c r="I137">
        <v>0.28999999999999998</v>
      </c>
    </row>
    <row r="138" spans="1:12" hidden="1" x14ac:dyDescent="0.2">
      <c r="A138" t="s">
        <v>133</v>
      </c>
      <c r="B138" t="s">
        <v>109</v>
      </c>
      <c r="C138" t="s">
        <v>72</v>
      </c>
      <c r="D138">
        <v>0.11600000000000001</v>
      </c>
      <c r="E138">
        <v>8.1000000000000003E-2</v>
      </c>
      <c r="F138">
        <v>1.4410000000000001</v>
      </c>
      <c r="G138">
        <v>0.14899999999999999</v>
      </c>
      <c r="H138">
        <v>-4.2000000000000003E-2</v>
      </c>
      <c r="I138">
        <v>0.27400000000000002</v>
      </c>
    </row>
    <row r="139" spans="1:12" hidden="1" x14ac:dyDescent="0.2">
      <c r="A139" t="s">
        <v>134</v>
      </c>
      <c r="B139" t="s">
        <v>109</v>
      </c>
      <c r="C139" t="s">
        <v>72</v>
      </c>
      <c r="D139">
        <v>-0.14000000000000001</v>
      </c>
      <c r="E139">
        <v>0.123</v>
      </c>
      <c r="F139">
        <v>-1.1359999999999999</v>
      </c>
      <c r="G139">
        <v>0.25600000000000001</v>
      </c>
      <c r="H139">
        <v>-0.38</v>
      </c>
      <c r="I139">
        <v>0.10100000000000001</v>
      </c>
    </row>
    <row r="140" spans="1:12" hidden="1" x14ac:dyDescent="0.2">
      <c r="A140" t="s">
        <v>133</v>
      </c>
      <c r="B140" t="s">
        <v>109</v>
      </c>
      <c r="C140" t="s">
        <v>73</v>
      </c>
      <c r="D140">
        <v>0.20300000000000001</v>
      </c>
      <c r="E140">
        <v>5.7000000000000002E-2</v>
      </c>
      <c r="F140">
        <v>3.5289999999999999</v>
      </c>
      <c r="G140">
        <v>0</v>
      </c>
      <c r="H140">
        <v>0.09</v>
      </c>
      <c r="I140">
        <v>0.316</v>
      </c>
      <c r="L140" t="s">
        <v>13</v>
      </c>
    </row>
    <row r="141" spans="1:12" hidden="1" x14ac:dyDescent="0.2">
      <c r="A141" t="s">
        <v>134</v>
      </c>
      <c r="B141" t="s">
        <v>109</v>
      </c>
      <c r="C141" t="s">
        <v>73</v>
      </c>
      <c r="D141">
        <v>1.2E-2</v>
      </c>
      <c r="E141">
        <v>8.6999999999999994E-2</v>
      </c>
      <c r="F141">
        <v>0.13600000000000001</v>
      </c>
      <c r="G141">
        <v>0.89200000000000002</v>
      </c>
      <c r="H141">
        <v>-0.159</v>
      </c>
      <c r="I141">
        <v>0.182</v>
      </c>
    </row>
    <row r="142" spans="1:12" hidden="1" x14ac:dyDescent="0.2">
      <c r="A142" t="s">
        <v>133</v>
      </c>
      <c r="B142" t="s">
        <v>110</v>
      </c>
      <c r="C142" t="s">
        <v>72</v>
      </c>
      <c r="D142">
        <v>0.218</v>
      </c>
      <c r="E142">
        <v>7.3999999999999996E-2</v>
      </c>
      <c r="F142">
        <v>2.9449999999999998</v>
      </c>
      <c r="G142">
        <v>3.0000000000000001E-3</v>
      </c>
      <c r="H142">
        <v>7.2999999999999995E-2</v>
      </c>
      <c r="I142">
        <v>0.36399999999999999</v>
      </c>
      <c r="L142" t="s">
        <v>18</v>
      </c>
    </row>
    <row r="143" spans="1:12" hidden="1" x14ac:dyDescent="0.2">
      <c r="A143" t="s">
        <v>134</v>
      </c>
      <c r="B143" t="s">
        <v>110</v>
      </c>
      <c r="C143" t="s">
        <v>72</v>
      </c>
      <c r="D143">
        <v>-0.24399999999999999</v>
      </c>
      <c r="E143">
        <v>0.10100000000000001</v>
      </c>
      <c r="F143">
        <v>-2.4180000000000001</v>
      </c>
      <c r="G143">
        <v>1.6E-2</v>
      </c>
      <c r="H143">
        <v>-0.441</v>
      </c>
      <c r="I143">
        <v>-4.5999999999999999E-2</v>
      </c>
      <c r="L143" t="s">
        <v>36</v>
      </c>
    </row>
    <row r="144" spans="1:12" hidden="1" x14ac:dyDescent="0.2">
      <c r="A144" t="s">
        <v>133</v>
      </c>
      <c r="B144" t="s">
        <v>110</v>
      </c>
      <c r="C144" t="s">
        <v>73</v>
      </c>
      <c r="D144">
        <v>0.27100000000000002</v>
      </c>
      <c r="E144">
        <v>4.7E-2</v>
      </c>
      <c r="F144">
        <v>5.7309999999999999</v>
      </c>
      <c r="G144">
        <v>0</v>
      </c>
      <c r="H144">
        <v>0.17799999999999999</v>
      </c>
      <c r="I144">
        <v>0.36299999999999999</v>
      </c>
      <c r="L144" t="s">
        <v>13</v>
      </c>
    </row>
    <row r="145" spans="1:12" hidden="1" x14ac:dyDescent="0.2">
      <c r="A145" t="s">
        <v>134</v>
      </c>
      <c r="B145" t="s">
        <v>110</v>
      </c>
      <c r="C145" t="s">
        <v>73</v>
      </c>
      <c r="D145">
        <v>-0.20200000000000001</v>
      </c>
      <c r="E145">
        <v>4.2999999999999997E-2</v>
      </c>
      <c r="F145">
        <v>-4.6870000000000003</v>
      </c>
      <c r="G145">
        <v>0</v>
      </c>
      <c r="H145">
        <v>-0.28599999999999998</v>
      </c>
      <c r="I145">
        <v>-0.11700000000000001</v>
      </c>
      <c r="L145" t="s">
        <v>13</v>
      </c>
    </row>
    <row r="146" spans="1:12" hidden="1" x14ac:dyDescent="0.2">
      <c r="A146" t="s">
        <v>133</v>
      </c>
      <c r="B146" t="s">
        <v>111</v>
      </c>
      <c r="C146" t="s">
        <v>72</v>
      </c>
      <c r="D146">
        <v>3.6999999999999998E-2</v>
      </c>
      <c r="E146">
        <v>5.8999999999999997E-2</v>
      </c>
      <c r="F146">
        <v>0.63200000000000001</v>
      </c>
      <c r="G146">
        <v>0.52700000000000002</v>
      </c>
      <c r="H146">
        <v>-7.8E-2</v>
      </c>
      <c r="I146">
        <v>0.153</v>
      </c>
    </row>
    <row r="147" spans="1:12" hidden="1" x14ac:dyDescent="0.2">
      <c r="A147" t="s">
        <v>134</v>
      </c>
      <c r="B147" t="s">
        <v>111</v>
      </c>
      <c r="C147" t="s">
        <v>72</v>
      </c>
      <c r="D147">
        <v>1.2E-2</v>
      </c>
      <c r="E147">
        <v>8.7999999999999995E-2</v>
      </c>
      <c r="F147">
        <v>0.13400000000000001</v>
      </c>
      <c r="G147">
        <v>0.89300000000000002</v>
      </c>
      <c r="H147">
        <v>-0.161</v>
      </c>
      <c r="I147">
        <v>0.185</v>
      </c>
    </row>
    <row r="148" spans="1:12" hidden="1" x14ac:dyDescent="0.2">
      <c r="A148" t="s">
        <v>133</v>
      </c>
      <c r="B148" t="s">
        <v>111</v>
      </c>
      <c r="C148" t="s">
        <v>73</v>
      </c>
      <c r="D148">
        <v>0.185</v>
      </c>
      <c r="E148">
        <v>5.3999999999999999E-2</v>
      </c>
      <c r="F148">
        <v>3.4340000000000002</v>
      </c>
      <c r="G148">
        <v>1E-3</v>
      </c>
      <c r="H148">
        <v>0.08</v>
      </c>
      <c r="I148">
        <v>0.29099999999999998</v>
      </c>
      <c r="L148" t="s">
        <v>18</v>
      </c>
    </row>
    <row r="149" spans="1:12" hidden="1" x14ac:dyDescent="0.2">
      <c r="A149" t="s">
        <v>134</v>
      </c>
      <c r="B149" t="s">
        <v>111</v>
      </c>
      <c r="C149" t="s">
        <v>73</v>
      </c>
      <c r="D149">
        <v>-0.126</v>
      </c>
      <c r="E149">
        <v>5.3999999999999999E-2</v>
      </c>
      <c r="F149">
        <v>-2.3530000000000002</v>
      </c>
      <c r="G149">
        <v>1.9E-2</v>
      </c>
      <c r="H149">
        <v>-0.23100000000000001</v>
      </c>
      <c r="I149">
        <v>-2.1000000000000001E-2</v>
      </c>
      <c r="L149" t="s">
        <v>36</v>
      </c>
    </row>
    <row r="150" spans="1:12" hidden="1" x14ac:dyDescent="0.2">
      <c r="B150" t="s">
        <v>112</v>
      </c>
      <c r="J150" t="s">
        <v>12</v>
      </c>
      <c r="K150" t="s">
        <v>12</v>
      </c>
    </row>
    <row r="151" spans="1:12" hidden="1" x14ac:dyDescent="0.2">
      <c r="A151" t="s">
        <v>134</v>
      </c>
      <c r="B151" t="s">
        <v>31</v>
      </c>
      <c r="C151" t="s">
        <v>72</v>
      </c>
      <c r="D151">
        <v>-2.5000000000000001E-2</v>
      </c>
      <c r="E151">
        <v>0.104</v>
      </c>
      <c r="F151">
        <v>-0.24</v>
      </c>
      <c r="G151">
        <v>0.81</v>
      </c>
      <c r="H151">
        <v>-0.22900000000000001</v>
      </c>
      <c r="I151">
        <v>0.17899999999999999</v>
      </c>
    </row>
    <row r="152" spans="1:12" hidden="1" x14ac:dyDescent="0.2">
      <c r="A152" t="s">
        <v>133</v>
      </c>
      <c r="B152" t="s">
        <v>31</v>
      </c>
      <c r="C152" t="s">
        <v>72</v>
      </c>
      <c r="D152">
        <v>4.1000000000000002E-2</v>
      </c>
      <c r="E152">
        <v>6.2E-2</v>
      </c>
      <c r="F152">
        <v>0.66500000000000004</v>
      </c>
      <c r="G152">
        <v>0.50600000000000001</v>
      </c>
      <c r="H152">
        <v>-0.08</v>
      </c>
      <c r="I152">
        <v>0.161</v>
      </c>
    </row>
    <row r="153" spans="1:12" hidden="1" x14ac:dyDescent="0.2">
      <c r="A153" t="s">
        <v>133</v>
      </c>
      <c r="B153" t="s">
        <v>31</v>
      </c>
      <c r="C153" t="s">
        <v>73</v>
      </c>
      <c r="D153">
        <v>-2.4E-2</v>
      </c>
      <c r="E153">
        <v>8.6999999999999994E-2</v>
      </c>
      <c r="F153">
        <v>-0.27800000000000002</v>
      </c>
      <c r="G153">
        <v>0.78100000000000003</v>
      </c>
      <c r="H153">
        <v>-0.19500000000000001</v>
      </c>
      <c r="I153">
        <v>0.14599999999999999</v>
      </c>
    </row>
    <row r="154" spans="1:12" hidden="1" x14ac:dyDescent="0.2">
      <c r="A154" t="s">
        <v>134</v>
      </c>
      <c r="B154" t="s">
        <v>31</v>
      </c>
      <c r="C154" t="s">
        <v>73</v>
      </c>
      <c r="D154">
        <v>8.9999999999999993E-3</v>
      </c>
      <c r="E154">
        <v>0.06</v>
      </c>
      <c r="F154">
        <v>0.15</v>
      </c>
      <c r="G154">
        <v>0.88100000000000001</v>
      </c>
      <c r="H154">
        <v>-0.109</v>
      </c>
      <c r="I154">
        <v>0.127</v>
      </c>
    </row>
    <row r="155" spans="1:12" hidden="1" x14ac:dyDescent="0.2">
      <c r="A155" t="s">
        <v>133</v>
      </c>
      <c r="B155" t="s">
        <v>113</v>
      </c>
      <c r="C155" t="s">
        <v>72</v>
      </c>
      <c r="D155">
        <v>8.7999999999999995E-2</v>
      </c>
      <c r="E155">
        <v>0.16500000000000001</v>
      </c>
      <c r="F155">
        <v>0.53300000000000003</v>
      </c>
      <c r="G155">
        <v>0.59399999999999997</v>
      </c>
      <c r="H155">
        <v>-0.23499999999999999</v>
      </c>
      <c r="I155">
        <v>0.41</v>
      </c>
    </row>
    <row r="156" spans="1:12" hidden="1" x14ac:dyDescent="0.2">
      <c r="A156" t="s">
        <v>134</v>
      </c>
      <c r="B156" t="s">
        <v>113</v>
      </c>
      <c r="C156" t="s">
        <v>72</v>
      </c>
      <c r="D156">
        <v>-0.221</v>
      </c>
      <c r="E156">
        <v>0.311</v>
      </c>
      <c r="F156">
        <v>-0.71</v>
      </c>
      <c r="G156">
        <v>0.47799999999999998</v>
      </c>
      <c r="H156">
        <v>-0.83199999999999996</v>
      </c>
      <c r="I156">
        <v>0.38900000000000001</v>
      </c>
    </row>
    <row r="157" spans="1:12" hidden="1" x14ac:dyDescent="0.2">
      <c r="A157" t="s">
        <v>133</v>
      </c>
      <c r="B157" t="s">
        <v>113</v>
      </c>
      <c r="C157" t="s">
        <v>73</v>
      </c>
      <c r="D157">
        <v>-0.17199999999999999</v>
      </c>
      <c r="E157">
        <v>0.161</v>
      </c>
      <c r="F157">
        <v>-1.0720000000000001</v>
      </c>
      <c r="G157">
        <v>0.28399999999999997</v>
      </c>
      <c r="H157">
        <v>-0.48799999999999999</v>
      </c>
      <c r="I157">
        <v>0.14299999999999999</v>
      </c>
    </row>
    <row r="158" spans="1:12" hidden="1" x14ac:dyDescent="0.2">
      <c r="A158" t="s">
        <v>134</v>
      </c>
      <c r="B158" t="s">
        <v>113</v>
      </c>
      <c r="C158" t="s">
        <v>73</v>
      </c>
      <c r="D158">
        <v>-0.11600000000000001</v>
      </c>
      <c r="E158">
        <v>8.6999999999999994E-2</v>
      </c>
      <c r="F158">
        <v>-1.337</v>
      </c>
      <c r="G158">
        <v>0.18099999999999999</v>
      </c>
      <c r="H158">
        <v>-0.28499999999999998</v>
      </c>
      <c r="I158">
        <v>5.3999999999999999E-2</v>
      </c>
    </row>
    <row r="159" spans="1:12" hidden="1" x14ac:dyDescent="0.2">
      <c r="A159" t="s">
        <v>134</v>
      </c>
      <c r="B159" t="s">
        <v>114</v>
      </c>
      <c r="C159" t="s">
        <v>72</v>
      </c>
      <c r="D159">
        <v>0.40400000000000003</v>
      </c>
      <c r="E159">
        <v>0.23599999999999999</v>
      </c>
      <c r="F159">
        <v>1.7090000000000001</v>
      </c>
      <c r="G159">
        <v>8.7999999999999995E-2</v>
      </c>
      <c r="H159">
        <v>-5.8999999999999997E-2</v>
      </c>
      <c r="I159">
        <v>0.86599999999999999</v>
      </c>
    </row>
    <row r="160" spans="1:12" hidden="1" x14ac:dyDescent="0.2">
      <c r="A160" t="s">
        <v>133</v>
      </c>
      <c r="B160" t="s">
        <v>114</v>
      </c>
      <c r="C160" t="s">
        <v>72</v>
      </c>
      <c r="D160">
        <v>-0.221</v>
      </c>
      <c r="E160">
        <v>0.122</v>
      </c>
      <c r="F160">
        <v>-1.806</v>
      </c>
      <c r="G160">
        <v>7.0999999999999994E-2</v>
      </c>
      <c r="H160">
        <v>-0.46</v>
      </c>
      <c r="I160">
        <v>1.9E-2</v>
      </c>
    </row>
    <row r="161" spans="1:12" hidden="1" x14ac:dyDescent="0.2">
      <c r="A161" t="s">
        <v>133</v>
      </c>
      <c r="B161" t="s">
        <v>114</v>
      </c>
      <c r="C161" t="s">
        <v>73</v>
      </c>
      <c r="D161">
        <v>-0.05</v>
      </c>
      <c r="E161">
        <v>0.121</v>
      </c>
      <c r="F161">
        <v>-0.41199999999999998</v>
      </c>
      <c r="G161">
        <v>0.68</v>
      </c>
      <c r="H161">
        <v>-0.28699999999999998</v>
      </c>
      <c r="I161">
        <v>0.187</v>
      </c>
    </row>
    <row r="162" spans="1:12" hidden="1" x14ac:dyDescent="0.2">
      <c r="A162" t="s">
        <v>134</v>
      </c>
      <c r="B162" t="s">
        <v>114</v>
      </c>
      <c r="C162" t="s">
        <v>73</v>
      </c>
      <c r="D162">
        <v>0.14499999999999999</v>
      </c>
      <c r="E162">
        <v>7.1999999999999995E-2</v>
      </c>
      <c r="F162">
        <v>2.0059999999999998</v>
      </c>
      <c r="G162">
        <v>4.4999999999999998E-2</v>
      </c>
      <c r="H162">
        <v>3.0000000000000001E-3</v>
      </c>
      <c r="I162">
        <v>0.28599999999999998</v>
      </c>
      <c r="L162" t="s">
        <v>36</v>
      </c>
    </row>
    <row r="163" spans="1:12" hidden="1" x14ac:dyDescent="0.2">
      <c r="A163" t="s">
        <v>133</v>
      </c>
      <c r="B163" t="s">
        <v>115</v>
      </c>
      <c r="C163" t="s">
        <v>72</v>
      </c>
      <c r="D163">
        <v>-0.14599999999999999</v>
      </c>
      <c r="E163">
        <v>0.105</v>
      </c>
      <c r="F163">
        <v>-1.393</v>
      </c>
      <c r="G163">
        <v>0.16400000000000001</v>
      </c>
      <c r="H163">
        <v>-0.35199999999999998</v>
      </c>
      <c r="I163">
        <v>0.06</v>
      </c>
    </row>
    <row r="164" spans="1:12" hidden="1" x14ac:dyDescent="0.2">
      <c r="A164" t="s">
        <v>134</v>
      </c>
      <c r="B164" t="s">
        <v>115</v>
      </c>
      <c r="C164" t="s">
        <v>72</v>
      </c>
      <c r="D164">
        <v>0.26800000000000002</v>
      </c>
      <c r="E164">
        <v>0.22900000000000001</v>
      </c>
      <c r="F164">
        <v>1.169</v>
      </c>
      <c r="G164">
        <v>0.24199999999999999</v>
      </c>
      <c r="H164">
        <v>-0.18099999999999999</v>
      </c>
      <c r="I164">
        <v>0.71599999999999997</v>
      </c>
    </row>
    <row r="165" spans="1:12" hidden="1" x14ac:dyDescent="0.2">
      <c r="A165" t="s">
        <v>133</v>
      </c>
      <c r="B165" t="s">
        <v>115</v>
      </c>
      <c r="C165" t="s">
        <v>73</v>
      </c>
      <c r="D165">
        <v>0.11799999999999999</v>
      </c>
      <c r="E165">
        <v>0.127</v>
      </c>
      <c r="F165">
        <v>0.93300000000000005</v>
      </c>
      <c r="G165">
        <v>0.35099999999999998</v>
      </c>
      <c r="H165">
        <v>-0.13</v>
      </c>
      <c r="I165">
        <v>0.36699999999999999</v>
      </c>
    </row>
    <row r="166" spans="1:12" hidden="1" x14ac:dyDescent="0.2">
      <c r="A166" t="s">
        <v>134</v>
      </c>
      <c r="B166" t="s">
        <v>115</v>
      </c>
      <c r="C166" t="s">
        <v>73</v>
      </c>
      <c r="D166">
        <v>-1.4E-2</v>
      </c>
      <c r="E166">
        <v>8.1000000000000003E-2</v>
      </c>
      <c r="F166">
        <v>-0.16900000000000001</v>
      </c>
      <c r="G166">
        <v>0.86499999999999999</v>
      </c>
      <c r="H166">
        <v>-0.17299999999999999</v>
      </c>
      <c r="I166">
        <v>0.14499999999999999</v>
      </c>
    </row>
    <row r="167" spans="1:12" hidden="1" x14ac:dyDescent="0.2">
      <c r="A167" t="s">
        <v>133</v>
      </c>
      <c r="B167" t="s">
        <v>116</v>
      </c>
      <c r="C167" t="s">
        <v>72</v>
      </c>
      <c r="D167">
        <v>0.09</v>
      </c>
      <c r="E167">
        <v>0.13</v>
      </c>
      <c r="F167">
        <v>0.68600000000000005</v>
      </c>
      <c r="G167">
        <v>0.49299999999999999</v>
      </c>
      <c r="H167">
        <v>-0.16600000000000001</v>
      </c>
      <c r="I167">
        <v>0.34499999999999997</v>
      </c>
    </row>
    <row r="168" spans="1:12" hidden="1" x14ac:dyDescent="0.2">
      <c r="A168" t="s">
        <v>134</v>
      </c>
      <c r="B168" t="s">
        <v>116</v>
      </c>
      <c r="C168" t="s">
        <v>72</v>
      </c>
      <c r="D168">
        <v>-5.7000000000000002E-2</v>
      </c>
      <c r="E168">
        <v>0.247</v>
      </c>
      <c r="F168">
        <v>-0.22900000000000001</v>
      </c>
      <c r="G168">
        <v>0.81899999999999995</v>
      </c>
      <c r="H168">
        <v>-0.54</v>
      </c>
      <c r="I168">
        <v>0.42699999999999999</v>
      </c>
    </row>
    <row r="169" spans="1:12" hidden="1" x14ac:dyDescent="0.2">
      <c r="A169" t="s">
        <v>133</v>
      </c>
      <c r="B169" t="s">
        <v>116</v>
      </c>
      <c r="C169" t="s">
        <v>73</v>
      </c>
      <c r="D169">
        <v>-0.14699999999999999</v>
      </c>
      <c r="E169">
        <v>0.17899999999999999</v>
      </c>
      <c r="F169">
        <v>-0.81899999999999995</v>
      </c>
      <c r="G169">
        <v>0.41299999999999998</v>
      </c>
      <c r="H169">
        <v>-0.498</v>
      </c>
      <c r="I169">
        <v>0.20399999999999999</v>
      </c>
    </row>
    <row r="170" spans="1:12" hidden="1" x14ac:dyDescent="0.2">
      <c r="A170" t="s">
        <v>134</v>
      </c>
      <c r="B170" t="s">
        <v>116</v>
      </c>
      <c r="C170" t="s">
        <v>73</v>
      </c>
      <c r="D170">
        <v>0.13700000000000001</v>
      </c>
      <c r="E170">
        <v>9.6000000000000002E-2</v>
      </c>
      <c r="F170">
        <v>1.4239999999999999</v>
      </c>
      <c r="G170">
        <v>0.154</v>
      </c>
      <c r="H170">
        <v>-5.1999999999999998E-2</v>
      </c>
      <c r="I170">
        <v>0.32600000000000001</v>
      </c>
    </row>
    <row r="171" spans="1:12" hidden="1" x14ac:dyDescent="0.2">
      <c r="A171" t="s">
        <v>133</v>
      </c>
      <c r="B171" t="s">
        <v>117</v>
      </c>
      <c r="C171" t="s">
        <v>72</v>
      </c>
      <c r="D171">
        <v>0.193</v>
      </c>
      <c r="E171">
        <v>0.107</v>
      </c>
      <c r="F171">
        <v>1.8149999999999999</v>
      </c>
      <c r="G171">
        <v>7.0000000000000007E-2</v>
      </c>
      <c r="H171">
        <v>-1.4999999999999999E-2</v>
      </c>
      <c r="I171">
        <v>0.40200000000000002</v>
      </c>
    </row>
    <row r="172" spans="1:12" hidden="1" x14ac:dyDescent="0.2">
      <c r="A172" t="s">
        <v>134</v>
      </c>
      <c r="B172" t="s">
        <v>117</v>
      </c>
      <c r="C172" t="s">
        <v>72</v>
      </c>
      <c r="D172">
        <v>-0.38800000000000001</v>
      </c>
      <c r="E172">
        <v>0.17599999999999999</v>
      </c>
      <c r="F172">
        <v>-2.2000000000000002</v>
      </c>
      <c r="G172">
        <v>2.8000000000000001E-2</v>
      </c>
      <c r="H172">
        <v>-0.73399999999999999</v>
      </c>
      <c r="I172">
        <v>-4.2000000000000003E-2</v>
      </c>
      <c r="L172" t="s">
        <v>36</v>
      </c>
    </row>
    <row r="173" spans="1:12" hidden="1" x14ac:dyDescent="0.2">
      <c r="A173" t="s">
        <v>133</v>
      </c>
      <c r="B173" t="s">
        <v>117</v>
      </c>
      <c r="C173" t="s">
        <v>73</v>
      </c>
      <c r="D173">
        <v>-6.0999999999999999E-2</v>
      </c>
      <c r="E173">
        <v>0.111</v>
      </c>
      <c r="F173">
        <v>-0.55400000000000005</v>
      </c>
      <c r="G173">
        <v>0.57999999999999996</v>
      </c>
      <c r="H173">
        <v>-0.27800000000000002</v>
      </c>
      <c r="I173">
        <v>0.156</v>
      </c>
    </row>
    <row r="174" spans="1:12" hidden="1" x14ac:dyDescent="0.2">
      <c r="A174" t="s">
        <v>134</v>
      </c>
      <c r="B174" t="s">
        <v>117</v>
      </c>
      <c r="C174" t="s">
        <v>73</v>
      </c>
      <c r="D174">
        <v>0.21199999999999999</v>
      </c>
      <c r="E174">
        <v>7.6999999999999999E-2</v>
      </c>
      <c r="F174">
        <v>2.7639999999999998</v>
      </c>
      <c r="G174">
        <v>6.0000000000000001E-3</v>
      </c>
      <c r="H174">
        <v>6.2E-2</v>
      </c>
      <c r="I174">
        <v>0.36199999999999999</v>
      </c>
      <c r="L174" t="s">
        <v>18</v>
      </c>
    </row>
    <row r="175" spans="1:12" hidden="1" x14ac:dyDescent="0.2">
      <c r="A175" t="s">
        <v>133</v>
      </c>
      <c r="B175" t="s">
        <v>118</v>
      </c>
      <c r="C175" t="s">
        <v>72</v>
      </c>
      <c r="D175">
        <v>0.14199999999999999</v>
      </c>
      <c r="E175">
        <v>0.1</v>
      </c>
      <c r="F175">
        <v>1.4179999999999999</v>
      </c>
      <c r="G175">
        <v>0.156</v>
      </c>
      <c r="H175">
        <v>-5.3999999999999999E-2</v>
      </c>
      <c r="I175">
        <v>0.33900000000000002</v>
      </c>
    </row>
    <row r="176" spans="1:12" hidden="1" x14ac:dyDescent="0.2">
      <c r="A176" t="s">
        <v>134</v>
      </c>
      <c r="B176" t="s">
        <v>118</v>
      </c>
      <c r="C176" t="s">
        <v>72</v>
      </c>
      <c r="D176">
        <v>-0.155</v>
      </c>
      <c r="E176">
        <v>0.17199999999999999</v>
      </c>
      <c r="F176">
        <v>-0.90200000000000002</v>
      </c>
      <c r="G176">
        <v>0.36699999999999999</v>
      </c>
      <c r="H176">
        <v>-0.49299999999999999</v>
      </c>
      <c r="I176">
        <v>0.182</v>
      </c>
    </row>
    <row r="177" spans="1:12" x14ac:dyDescent="0.2">
      <c r="A177" t="s">
        <v>133</v>
      </c>
      <c r="B177" t="s">
        <v>118</v>
      </c>
      <c r="C177" t="s">
        <v>73</v>
      </c>
      <c r="D177">
        <v>0.47199999999999998</v>
      </c>
      <c r="E177">
        <v>0.13700000000000001</v>
      </c>
      <c r="F177">
        <v>3.4449999999999998</v>
      </c>
      <c r="G177">
        <v>1E-3</v>
      </c>
      <c r="H177">
        <v>0.20399999999999999</v>
      </c>
      <c r="I177">
        <v>0.74099999999999999</v>
      </c>
      <c r="L177" t="s">
        <v>18</v>
      </c>
    </row>
    <row r="178" spans="1:12" hidden="1" x14ac:dyDescent="0.2">
      <c r="A178" t="s">
        <v>134</v>
      </c>
      <c r="B178" t="s">
        <v>118</v>
      </c>
      <c r="C178" t="s">
        <v>73</v>
      </c>
      <c r="D178">
        <v>-0.183</v>
      </c>
      <c r="E178">
        <v>7.6999999999999999E-2</v>
      </c>
      <c r="F178">
        <v>-2.3690000000000002</v>
      </c>
      <c r="G178">
        <v>1.7999999999999999E-2</v>
      </c>
      <c r="H178">
        <v>-0.33500000000000002</v>
      </c>
      <c r="I178">
        <v>-3.2000000000000001E-2</v>
      </c>
      <c r="L178" t="s">
        <v>36</v>
      </c>
    </row>
    <row r="179" spans="1:12" hidden="1" x14ac:dyDescent="0.2">
      <c r="A179" t="s">
        <v>133</v>
      </c>
      <c r="B179" t="s">
        <v>119</v>
      </c>
      <c r="C179" t="s">
        <v>72</v>
      </c>
      <c r="D179">
        <v>-0.161</v>
      </c>
      <c r="E179">
        <v>9.9000000000000005E-2</v>
      </c>
      <c r="F179">
        <v>-1.6240000000000001</v>
      </c>
      <c r="G179">
        <v>0.104</v>
      </c>
      <c r="H179">
        <v>-0.35599999999999998</v>
      </c>
      <c r="I179">
        <v>3.3000000000000002E-2</v>
      </c>
    </row>
    <row r="180" spans="1:12" hidden="1" x14ac:dyDescent="0.2">
      <c r="A180" t="s">
        <v>134</v>
      </c>
      <c r="B180" t="s">
        <v>119</v>
      </c>
      <c r="C180" t="s">
        <v>72</v>
      </c>
      <c r="D180">
        <v>0.34899999999999998</v>
      </c>
      <c r="E180">
        <v>0.18099999999999999</v>
      </c>
      <c r="F180">
        <v>1.931</v>
      </c>
      <c r="G180">
        <v>5.3999999999999999E-2</v>
      </c>
      <c r="H180">
        <v>-5.0000000000000001E-3</v>
      </c>
      <c r="I180">
        <v>0.70399999999999996</v>
      </c>
    </row>
    <row r="181" spans="1:12" hidden="1" x14ac:dyDescent="0.2">
      <c r="A181" t="s">
        <v>133</v>
      </c>
      <c r="B181" t="s">
        <v>119</v>
      </c>
      <c r="C181" t="s">
        <v>73</v>
      </c>
      <c r="D181">
        <v>0.24199999999999999</v>
      </c>
      <c r="E181">
        <v>9.6000000000000002E-2</v>
      </c>
      <c r="F181">
        <v>2.5259999999999998</v>
      </c>
      <c r="G181">
        <v>1.2E-2</v>
      </c>
      <c r="H181">
        <v>5.3999999999999999E-2</v>
      </c>
      <c r="I181">
        <v>0.43</v>
      </c>
      <c r="L181" t="s">
        <v>36</v>
      </c>
    </row>
    <row r="182" spans="1:12" hidden="1" x14ac:dyDescent="0.2">
      <c r="A182" t="s">
        <v>134</v>
      </c>
      <c r="B182" t="s">
        <v>119</v>
      </c>
      <c r="C182" t="s">
        <v>73</v>
      </c>
      <c r="D182">
        <v>-0.184</v>
      </c>
      <c r="E182">
        <v>7.0999999999999994E-2</v>
      </c>
      <c r="F182">
        <v>-2.5939999999999999</v>
      </c>
      <c r="G182">
        <v>8.9999999999999993E-3</v>
      </c>
      <c r="H182">
        <v>-0.32300000000000001</v>
      </c>
      <c r="I182">
        <v>-4.4999999999999998E-2</v>
      </c>
      <c r="L182" t="s">
        <v>18</v>
      </c>
    </row>
    <row r="183" spans="1:12" hidden="1" x14ac:dyDescent="0.2">
      <c r="A183" t="s">
        <v>133</v>
      </c>
      <c r="B183" t="s">
        <v>120</v>
      </c>
      <c r="C183" t="s">
        <v>72</v>
      </c>
      <c r="D183">
        <v>0.189</v>
      </c>
      <c r="E183">
        <v>0.104</v>
      </c>
      <c r="F183">
        <v>1.8160000000000001</v>
      </c>
      <c r="G183">
        <v>6.9000000000000006E-2</v>
      </c>
      <c r="H183">
        <v>-1.4999999999999999E-2</v>
      </c>
      <c r="I183">
        <v>0.39300000000000002</v>
      </c>
    </row>
    <row r="184" spans="1:12" hidden="1" x14ac:dyDescent="0.2">
      <c r="A184" t="s">
        <v>134</v>
      </c>
      <c r="B184" t="s">
        <v>120</v>
      </c>
      <c r="C184" t="s">
        <v>72</v>
      </c>
      <c r="D184">
        <v>-0.46700000000000003</v>
      </c>
      <c r="E184">
        <v>0.20100000000000001</v>
      </c>
      <c r="F184">
        <v>-2.3260000000000001</v>
      </c>
      <c r="G184">
        <v>0.02</v>
      </c>
      <c r="H184">
        <v>-0.86099999999999999</v>
      </c>
      <c r="I184">
        <v>-7.3999999999999996E-2</v>
      </c>
      <c r="L184" t="s">
        <v>36</v>
      </c>
    </row>
    <row r="185" spans="1:12" hidden="1" x14ac:dyDescent="0.2">
      <c r="A185" t="s">
        <v>133</v>
      </c>
      <c r="B185" t="s">
        <v>120</v>
      </c>
      <c r="C185" t="s">
        <v>73</v>
      </c>
      <c r="D185">
        <v>-0.1</v>
      </c>
      <c r="E185">
        <v>0.106</v>
      </c>
      <c r="F185">
        <v>-0.95</v>
      </c>
      <c r="G185">
        <v>0.34200000000000003</v>
      </c>
      <c r="H185">
        <v>-0.307</v>
      </c>
      <c r="I185">
        <v>0.107</v>
      </c>
    </row>
    <row r="186" spans="1:12" hidden="1" x14ac:dyDescent="0.2">
      <c r="A186" t="s">
        <v>134</v>
      </c>
      <c r="B186" t="s">
        <v>120</v>
      </c>
      <c r="C186" t="s">
        <v>73</v>
      </c>
      <c r="D186">
        <v>-2.4E-2</v>
      </c>
      <c r="E186">
        <v>8.5999999999999993E-2</v>
      </c>
      <c r="F186">
        <v>-0.27900000000000003</v>
      </c>
      <c r="G186">
        <v>0.78</v>
      </c>
      <c r="H186">
        <v>-0.192</v>
      </c>
      <c r="I186">
        <v>0.14399999999999999</v>
      </c>
    </row>
    <row r="187" spans="1:12" hidden="1" x14ac:dyDescent="0.2">
      <c r="B187" t="s">
        <v>121</v>
      </c>
      <c r="J187" t="s">
        <v>12</v>
      </c>
      <c r="K187" t="s">
        <v>12</v>
      </c>
    </row>
    <row r="188" spans="1:12" hidden="1" x14ac:dyDescent="0.2">
      <c r="A188" t="s">
        <v>134</v>
      </c>
      <c r="B188" t="s">
        <v>33</v>
      </c>
      <c r="C188" t="s">
        <v>72</v>
      </c>
      <c r="D188">
        <v>0.02</v>
      </c>
      <c r="E188">
        <v>0.113</v>
      </c>
      <c r="F188">
        <v>0.17699999999999999</v>
      </c>
      <c r="G188">
        <v>0.85899999999999999</v>
      </c>
      <c r="H188">
        <v>-0.20100000000000001</v>
      </c>
      <c r="I188">
        <v>0.24099999999999999</v>
      </c>
    </row>
    <row r="189" spans="1:12" hidden="1" x14ac:dyDescent="0.2">
      <c r="A189" t="s">
        <v>133</v>
      </c>
      <c r="B189" t="s">
        <v>33</v>
      </c>
      <c r="C189" t="s">
        <v>72</v>
      </c>
      <c r="D189">
        <v>-2E-3</v>
      </c>
      <c r="E189">
        <v>6.9000000000000006E-2</v>
      </c>
      <c r="F189">
        <v>-3.3000000000000002E-2</v>
      </c>
      <c r="G189">
        <v>0.97299999999999998</v>
      </c>
      <c r="H189">
        <v>-0.13700000000000001</v>
      </c>
      <c r="I189">
        <v>0.13300000000000001</v>
      </c>
    </row>
    <row r="190" spans="1:12" hidden="1" x14ac:dyDescent="0.2">
      <c r="A190" t="s">
        <v>134</v>
      </c>
      <c r="B190" t="s">
        <v>33</v>
      </c>
      <c r="C190" t="s">
        <v>73</v>
      </c>
      <c r="D190">
        <v>3.6999999999999998E-2</v>
      </c>
      <c r="E190">
        <v>4.7E-2</v>
      </c>
      <c r="F190">
        <v>0.77200000000000002</v>
      </c>
      <c r="G190">
        <v>0.44</v>
      </c>
      <c r="H190">
        <v>-5.6000000000000001E-2</v>
      </c>
      <c r="I190">
        <v>0.13</v>
      </c>
    </row>
    <row r="191" spans="1:12" hidden="1" x14ac:dyDescent="0.2">
      <c r="A191" t="s">
        <v>133</v>
      </c>
      <c r="B191" t="s">
        <v>33</v>
      </c>
      <c r="C191" t="s">
        <v>73</v>
      </c>
      <c r="D191">
        <v>7.0000000000000001E-3</v>
      </c>
      <c r="E191">
        <v>7.8E-2</v>
      </c>
      <c r="F191">
        <v>9.4E-2</v>
      </c>
      <c r="G191">
        <v>0.92500000000000004</v>
      </c>
      <c r="H191">
        <v>-0.14499999999999999</v>
      </c>
      <c r="I191">
        <v>0.16</v>
      </c>
    </row>
    <row r="192" spans="1:12" hidden="1" x14ac:dyDescent="0.2">
      <c r="A192" t="s">
        <v>133</v>
      </c>
      <c r="B192" t="s">
        <v>122</v>
      </c>
      <c r="C192" t="s">
        <v>72</v>
      </c>
      <c r="D192">
        <v>-0.23499999999999999</v>
      </c>
      <c r="E192">
        <v>0.20399999999999999</v>
      </c>
      <c r="F192">
        <v>-1.155</v>
      </c>
      <c r="G192">
        <v>0.248</v>
      </c>
      <c r="H192">
        <v>-0.63400000000000001</v>
      </c>
      <c r="I192">
        <v>0.16400000000000001</v>
      </c>
    </row>
    <row r="193" spans="1:12" hidden="1" x14ac:dyDescent="0.2">
      <c r="A193" t="s">
        <v>134</v>
      </c>
      <c r="B193" t="s">
        <v>122</v>
      </c>
      <c r="C193" t="s">
        <v>72</v>
      </c>
      <c r="D193">
        <v>0.32700000000000001</v>
      </c>
      <c r="E193">
        <v>0.40899999999999997</v>
      </c>
      <c r="F193">
        <v>0.79900000000000004</v>
      </c>
      <c r="G193">
        <v>0.42399999999999999</v>
      </c>
      <c r="H193">
        <v>-0.47499999999999998</v>
      </c>
      <c r="I193">
        <v>1.129</v>
      </c>
    </row>
    <row r="194" spans="1:12" hidden="1" x14ac:dyDescent="0.2">
      <c r="A194" t="s">
        <v>133</v>
      </c>
      <c r="B194" t="s">
        <v>122</v>
      </c>
      <c r="C194" t="s">
        <v>73</v>
      </c>
      <c r="D194">
        <v>-0.28499999999999998</v>
      </c>
      <c r="E194">
        <v>0.125</v>
      </c>
      <c r="F194">
        <v>-2.274</v>
      </c>
      <c r="G194">
        <v>2.3E-2</v>
      </c>
      <c r="H194">
        <v>-0.53100000000000003</v>
      </c>
      <c r="I194">
        <v>-3.9E-2</v>
      </c>
      <c r="L194" t="s">
        <v>36</v>
      </c>
    </row>
    <row r="195" spans="1:12" hidden="1" x14ac:dyDescent="0.2">
      <c r="A195" t="s">
        <v>134</v>
      </c>
      <c r="B195" t="s">
        <v>122</v>
      </c>
      <c r="C195" t="s">
        <v>73</v>
      </c>
      <c r="D195">
        <v>2.5000000000000001E-2</v>
      </c>
      <c r="E195">
        <v>6.5000000000000002E-2</v>
      </c>
      <c r="F195">
        <v>0.38900000000000001</v>
      </c>
      <c r="G195">
        <v>0.69699999999999995</v>
      </c>
      <c r="H195">
        <v>-0.10199999999999999</v>
      </c>
      <c r="I195">
        <v>0.153</v>
      </c>
    </row>
    <row r="196" spans="1:12" hidden="1" x14ac:dyDescent="0.2">
      <c r="A196" t="s">
        <v>134</v>
      </c>
      <c r="B196" t="s">
        <v>123</v>
      </c>
      <c r="C196" t="s">
        <v>72</v>
      </c>
      <c r="D196">
        <v>-0.28999999999999998</v>
      </c>
      <c r="E196">
        <v>0.42299999999999999</v>
      </c>
      <c r="F196">
        <v>-0.68600000000000005</v>
      </c>
      <c r="G196">
        <v>0.49299999999999999</v>
      </c>
      <c r="H196">
        <v>-1.1180000000000001</v>
      </c>
      <c r="I196">
        <v>0.53800000000000003</v>
      </c>
    </row>
    <row r="197" spans="1:12" hidden="1" x14ac:dyDescent="0.2">
      <c r="A197" t="s">
        <v>133</v>
      </c>
      <c r="B197" t="s">
        <v>123</v>
      </c>
      <c r="C197" t="s">
        <v>72</v>
      </c>
      <c r="D197">
        <v>0.13700000000000001</v>
      </c>
      <c r="E197">
        <v>0.20799999999999999</v>
      </c>
      <c r="F197">
        <v>0.65600000000000003</v>
      </c>
      <c r="G197">
        <v>0.51200000000000001</v>
      </c>
      <c r="H197">
        <v>-0.27100000000000002</v>
      </c>
      <c r="I197">
        <v>0.54500000000000004</v>
      </c>
    </row>
    <row r="198" spans="1:12" hidden="1" x14ac:dyDescent="0.2">
      <c r="A198" t="s">
        <v>133</v>
      </c>
      <c r="B198" t="s">
        <v>123</v>
      </c>
      <c r="C198" t="s">
        <v>73</v>
      </c>
      <c r="D198">
        <v>-7.8E-2</v>
      </c>
      <c r="E198">
        <v>0.157</v>
      </c>
      <c r="F198">
        <v>-0.495</v>
      </c>
      <c r="G198">
        <v>0.621</v>
      </c>
      <c r="H198">
        <v>-0.38500000000000001</v>
      </c>
      <c r="I198">
        <v>0.23</v>
      </c>
    </row>
    <row r="199" spans="1:12" hidden="1" x14ac:dyDescent="0.2">
      <c r="A199" t="s">
        <v>134</v>
      </c>
      <c r="B199" t="s">
        <v>123</v>
      </c>
      <c r="C199" t="s">
        <v>73</v>
      </c>
      <c r="D199">
        <v>-7.4999999999999997E-2</v>
      </c>
      <c r="E199">
        <v>8.5999999999999993E-2</v>
      </c>
      <c r="F199">
        <v>-0.876</v>
      </c>
      <c r="G199">
        <v>0.38100000000000001</v>
      </c>
      <c r="H199">
        <v>-0.24399999999999999</v>
      </c>
      <c r="I199">
        <v>9.2999999999999999E-2</v>
      </c>
    </row>
    <row r="200" spans="1:12" hidden="1" x14ac:dyDescent="0.2">
      <c r="B200" t="s">
        <v>124</v>
      </c>
      <c r="J200" t="s">
        <v>12</v>
      </c>
      <c r="K200" t="s">
        <v>145</v>
      </c>
    </row>
  </sheetData>
  <autoFilter ref="G1:G200" xr:uid="{00000000-0001-0000-0200-000000000000}">
    <filterColumn colId="0">
      <customFilters>
        <customFilter operator="lessThan" val="5.0000000000000001E-3"/>
      </customFilters>
    </filterColumn>
  </autoFilter>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Q41"/>
  <sheetViews>
    <sheetView tabSelected="1" workbookViewId="0">
      <selection activeCell="P1" sqref="P1:Q1"/>
    </sheetView>
  </sheetViews>
  <sheetFormatPr baseColWidth="10" defaultRowHeight="15" x14ac:dyDescent="0.2"/>
  <cols>
    <col min="16" max="16" width="18.1640625" customWidth="1"/>
  </cols>
  <sheetData>
    <row r="1" spans="1:17" x14ac:dyDescent="0.2">
      <c r="A1" t="s">
        <v>1</v>
      </c>
      <c r="B1" t="s">
        <v>0</v>
      </c>
      <c r="C1" t="s">
        <v>68</v>
      </c>
      <c r="D1" t="s">
        <v>2</v>
      </c>
      <c r="E1" t="s">
        <v>3</v>
      </c>
      <c r="F1" t="s">
        <v>163</v>
      </c>
      <c r="G1" t="s">
        <v>4</v>
      </c>
      <c r="H1" t="s">
        <v>5</v>
      </c>
      <c r="I1" t="s">
        <v>6</v>
      </c>
      <c r="J1" t="s">
        <v>146</v>
      </c>
      <c r="K1" t="s">
        <v>147</v>
      </c>
      <c r="L1" t="s">
        <v>148</v>
      </c>
      <c r="M1" t="s">
        <v>7</v>
      </c>
      <c r="N1" t="s">
        <v>8</v>
      </c>
      <c r="O1" t="s">
        <v>9</v>
      </c>
      <c r="P1" t="s">
        <v>165</v>
      </c>
      <c r="Q1" s="1">
        <f>0.05/10</f>
        <v>5.0000000000000001E-3</v>
      </c>
    </row>
    <row r="2" spans="1:17" x14ac:dyDescent="0.2">
      <c r="A2" t="s">
        <v>149</v>
      </c>
      <c r="B2" t="s">
        <v>150</v>
      </c>
      <c r="C2" t="s">
        <v>72</v>
      </c>
      <c r="D2">
        <v>0.221</v>
      </c>
      <c r="E2">
        <v>4.1000000000000002E-2</v>
      </c>
      <c r="F2">
        <v>5.3170000000000002</v>
      </c>
      <c r="G2">
        <v>0</v>
      </c>
      <c r="J2">
        <v>38.039000000000001</v>
      </c>
      <c r="K2">
        <v>1</v>
      </c>
      <c r="L2">
        <v>0</v>
      </c>
      <c r="M2" t="s">
        <v>151</v>
      </c>
      <c r="N2" t="s">
        <v>12</v>
      </c>
      <c r="O2" t="s">
        <v>13</v>
      </c>
    </row>
    <row r="3" spans="1:17" x14ac:dyDescent="0.2">
      <c r="A3" t="s">
        <v>149</v>
      </c>
      <c r="B3" t="s">
        <v>152</v>
      </c>
      <c r="C3" t="s">
        <v>72</v>
      </c>
      <c r="D3">
        <v>0.77900000000000003</v>
      </c>
      <c r="E3">
        <v>4.1000000000000002E-2</v>
      </c>
      <c r="F3">
        <v>18.795999999999999</v>
      </c>
      <c r="G3">
        <v>0</v>
      </c>
      <c r="J3">
        <v>38.039000000000001</v>
      </c>
      <c r="K3">
        <v>1</v>
      </c>
      <c r="L3">
        <v>0</v>
      </c>
      <c r="M3" t="s">
        <v>151</v>
      </c>
      <c r="N3" t="s">
        <v>12</v>
      </c>
      <c r="O3" t="s">
        <v>13</v>
      </c>
    </row>
    <row r="4" spans="1:17" x14ac:dyDescent="0.2">
      <c r="A4" t="s">
        <v>149</v>
      </c>
      <c r="B4" t="s">
        <v>150</v>
      </c>
      <c r="C4" t="s">
        <v>73</v>
      </c>
      <c r="D4">
        <v>0.628</v>
      </c>
      <c r="E4">
        <v>3.4000000000000002E-2</v>
      </c>
      <c r="F4">
        <v>18.231000000000002</v>
      </c>
      <c r="G4">
        <v>0</v>
      </c>
      <c r="J4">
        <v>38.039000000000001</v>
      </c>
      <c r="K4">
        <v>1</v>
      </c>
      <c r="L4">
        <v>0</v>
      </c>
      <c r="M4" t="s">
        <v>151</v>
      </c>
      <c r="N4" t="s">
        <v>12</v>
      </c>
      <c r="O4" t="s">
        <v>13</v>
      </c>
    </row>
    <row r="5" spans="1:17" x14ac:dyDescent="0.2">
      <c r="A5" t="s">
        <v>149</v>
      </c>
      <c r="B5" t="s">
        <v>152</v>
      </c>
      <c r="C5" t="s">
        <v>73</v>
      </c>
      <c r="D5">
        <v>0.372</v>
      </c>
      <c r="E5">
        <v>3.4000000000000002E-2</v>
      </c>
      <c r="F5">
        <v>10.781000000000001</v>
      </c>
      <c r="G5">
        <v>0</v>
      </c>
      <c r="J5">
        <v>38.039000000000001</v>
      </c>
      <c r="K5">
        <v>1</v>
      </c>
      <c r="L5">
        <v>0</v>
      </c>
      <c r="M5" t="s">
        <v>151</v>
      </c>
      <c r="N5" t="s">
        <v>12</v>
      </c>
      <c r="O5" t="s">
        <v>13</v>
      </c>
    </row>
    <row r="6" spans="1:17" x14ac:dyDescent="0.2">
      <c r="A6" t="s">
        <v>153</v>
      </c>
      <c r="B6" t="s">
        <v>154</v>
      </c>
      <c r="C6" t="s">
        <v>72</v>
      </c>
      <c r="D6">
        <v>1.712</v>
      </c>
      <c r="E6">
        <v>0.221</v>
      </c>
      <c r="F6">
        <v>7.7279999999999998</v>
      </c>
      <c r="G6">
        <v>0</v>
      </c>
      <c r="H6">
        <v>1.2769999999999999</v>
      </c>
      <c r="I6">
        <v>2.1459999999999999</v>
      </c>
      <c r="J6">
        <v>25.277000000000001</v>
      </c>
      <c r="K6">
        <v>1</v>
      </c>
      <c r="L6">
        <v>0</v>
      </c>
      <c r="M6" t="s">
        <v>155</v>
      </c>
      <c r="N6" t="s">
        <v>12</v>
      </c>
      <c r="O6" t="s">
        <v>13</v>
      </c>
    </row>
    <row r="7" spans="1:17" hidden="1" x14ac:dyDescent="0.2">
      <c r="A7" t="s">
        <v>153</v>
      </c>
      <c r="B7" t="s">
        <v>156</v>
      </c>
      <c r="C7" t="s">
        <v>72</v>
      </c>
      <c r="D7">
        <v>1</v>
      </c>
      <c r="E7">
        <v>0</v>
      </c>
      <c r="F7">
        <v>999</v>
      </c>
      <c r="G7">
        <v>999</v>
      </c>
      <c r="H7">
        <v>1</v>
      </c>
      <c r="I7">
        <v>1</v>
      </c>
      <c r="J7">
        <v>25.277000000000001</v>
      </c>
      <c r="K7">
        <v>1</v>
      </c>
      <c r="L7">
        <v>0</v>
      </c>
      <c r="M7" t="s">
        <v>155</v>
      </c>
      <c r="N7" t="s">
        <v>12</v>
      </c>
      <c r="O7" t="s">
        <v>13</v>
      </c>
    </row>
    <row r="8" spans="1:17" x14ac:dyDescent="0.2">
      <c r="A8" t="s">
        <v>153</v>
      </c>
      <c r="B8" t="s">
        <v>154</v>
      </c>
      <c r="C8" t="s">
        <v>73</v>
      </c>
      <c r="D8">
        <v>1.016</v>
      </c>
      <c r="E8">
        <v>9.4E-2</v>
      </c>
      <c r="F8">
        <v>10.804</v>
      </c>
      <c r="G8">
        <v>0</v>
      </c>
      <c r="H8">
        <v>0.83199999999999996</v>
      </c>
      <c r="I8">
        <v>1.2</v>
      </c>
      <c r="J8">
        <v>25.277000000000001</v>
      </c>
      <c r="K8">
        <v>1</v>
      </c>
      <c r="L8">
        <v>0</v>
      </c>
      <c r="M8" t="s">
        <v>155</v>
      </c>
      <c r="N8" t="s">
        <v>12</v>
      </c>
      <c r="O8" t="s">
        <v>13</v>
      </c>
    </row>
    <row r="9" spans="1:17" hidden="1" x14ac:dyDescent="0.2">
      <c r="A9" t="s">
        <v>153</v>
      </c>
      <c r="B9" t="s">
        <v>156</v>
      </c>
      <c r="C9" t="s">
        <v>73</v>
      </c>
      <c r="D9">
        <v>1</v>
      </c>
      <c r="E9">
        <v>0</v>
      </c>
      <c r="F9">
        <v>999</v>
      </c>
      <c r="G9">
        <v>999</v>
      </c>
      <c r="H9">
        <v>1</v>
      </c>
      <c r="I9">
        <v>1</v>
      </c>
      <c r="J9">
        <v>25.277000000000001</v>
      </c>
      <c r="K9">
        <v>1</v>
      </c>
      <c r="L9">
        <v>0</v>
      </c>
      <c r="M9" t="s">
        <v>155</v>
      </c>
      <c r="N9" t="s">
        <v>12</v>
      </c>
      <c r="O9" t="s">
        <v>13</v>
      </c>
    </row>
    <row r="10" spans="1:17" x14ac:dyDescent="0.2">
      <c r="A10" t="s">
        <v>157</v>
      </c>
      <c r="B10" t="s">
        <v>150</v>
      </c>
      <c r="C10" t="s">
        <v>72</v>
      </c>
      <c r="D10">
        <v>0.89600000000000002</v>
      </c>
      <c r="E10">
        <v>2.7E-2</v>
      </c>
      <c r="F10">
        <v>33.671999999999997</v>
      </c>
      <c r="G10">
        <v>0</v>
      </c>
      <c r="J10">
        <v>10.106999999999999</v>
      </c>
      <c r="K10">
        <v>1</v>
      </c>
      <c r="L10">
        <v>1.5E-3</v>
      </c>
      <c r="M10" t="s">
        <v>151</v>
      </c>
      <c r="N10" t="s">
        <v>12</v>
      </c>
      <c r="O10" t="s">
        <v>18</v>
      </c>
    </row>
    <row r="11" spans="1:17" x14ac:dyDescent="0.2">
      <c r="A11" t="s">
        <v>157</v>
      </c>
      <c r="B11" t="s">
        <v>152</v>
      </c>
      <c r="C11" t="s">
        <v>72</v>
      </c>
      <c r="D11">
        <v>0.104</v>
      </c>
      <c r="E11">
        <v>2.7E-2</v>
      </c>
      <c r="F11">
        <v>3.9079999999999999</v>
      </c>
      <c r="G11">
        <v>0</v>
      </c>
      <c r="J11">
        <v>10.106999999999999</v>
      </c>
      <c r="K11">
        <v>1</v>
      </c>
      <c r="L11">
        <v>1.5E-3</v>
      </c>
      <c r="M11" t="s">
        <v>151</v>
      </c>
      <c r="N11" t="s">
        <v>12</v>
      </c>
      <c r="O11" t="s">
        <v>18</v>
      </c>
    </row>
    <row r="12" spans="1:17" x14ac:dyDescent="0.2">
      <c r="A12" t="s">
        <v>157</v>
      </c>
      <c r="B12" t="s">
        <v>150</v>
      </c>
      <c r="C12" t="s">
        <v>73</v>
      </c>
      <c r="D12">
        <v>0.98199999999999998</v>
      </c>
      <c r="E12">
        <v>8.9999999999999993E-3</v>
      </c>
      <c r="F12">
        <v>113.872</v>
      </c>
      <c r="G12">
        <v>0</v>
      </c>
      <c r="J12">
        <v>10.106999999999999</v>
      </c>
      <c r="K12">
        <v>1</v>
      </c>
      <c r="L12">
        <v>1.5E-3</v>
      </c>
      <c r="M12" t="s">
        <v>151</v>
      </c>
      <c r="N12" t="s">
        <v>12</v>
      </c>
      <c r="O12" t="s">
        <v>18</v>
      </c>
    </row>
    <row r="13" spans="1:17" x14ac:dyDescent="0.2">
      <c r="A13" t="s">
        <v>157</v>
      </c>
      <c r="B13" t="s">
        <v>152</v>
      </c>
      <c r="C13" t="s">
        <v>73</v>
      </c>
      <c r="D13">
        <v>1.7999999999999999E-2</v>
      </c>
      <c r="E13">
        <v>8.9999999999999993E-3</v>
      </c>
      <c r="F13">
        <v>2.0779999999999998</v>
      </c>
      <c r="G13">
        <v>3.7999999999999999E-2</v>
      </c>
      <c r="J13">
        <v>10.106999999999999</v>
      </c>
      <c r="K13">
        <v>1</v>
      </c>
      <c r="L13">
        <v>1.5E-3</v>
      </c>
      <c r="M13" t="s">
        <v>151</v>
      </c>
      <c r="N13" t="s">
        <v>12</v>
      </c>
      <c r="O13" t="s">
        <v>18</v>
      </c>
    </row>
    <row r="14" spans="1:17" x14ac:dyDescent="0.2">
      <c r="A14" t="s">
        <v>158</v>
      </c>
      <c r="B14" t="s">
        <v>150</v>
      </c>
      <c r="C14" t="s">
        <v>72</v>
      </c>
      <c r="D14">
        <v>0.49</v>
      </c>
      <c r="E14">
        <v>4.3999999999999997E-2</v>
      </c>
      <c r="F14">
        <v>11.031000000000001</v>
      </c>
      <c r="G14">
        <v>0</v>
      </c>
      <c r="J14">
        <v>17.366</v>
      </c>
      <c r="K14">
        <v>1</v>
      </c>
      <c r="L14">
        <v>0</v>
      </c>
      <c r="M14" t="s">
        <v>151</v>
      </c>
      <c r="N14" t="s">
        <v>12</v>
      </c>
      <c r="O14" t="s">
        <v>13</v>
      </c>
    </row>
    <row r="15" spans="1:17" x14ac:dyDescent="0.2">
      <c r="A15" t="s">
        <v>158</v>
      </c>
      <c r="B15" t="s">
        <v>152</v>
      </c>
      <c r="C15" t="s">
        <v>72</v>
      </c>
      <c r="D15">
        <v>0.51</v>
      </c>
      <c r="E15">
        <v>4.3999999999999997E-2</v>
      </c>
      <c r="F15">
        <v>11.504</v>
      </c>
      <c r="G15">
        <v>0</v>
      </c>
      <c r="J15">
        <v>17.366</v>
      </c>
      <c r="K15">
        <v>1</v>
      </c>
      <c r="L15">
        <v>0</v>
      </c>
      <c r="M15" t="s">
        <v>151</v>
      </c>
      <c r="N15" t="s">
        <v>12</v>
      </c>
      <c r="O15" t="s">
        <v>13</v>
      </c>
    </row>
    <row r="16" spans="1:17" x14ac:dyDescent="0.2">
      <c r="A16" t="s">
        <v>158</v>
      </c>
      <c r="B16" t="s">
        <v>150</v>
      </c>
      <c r="C16" t="s">
        <v>73</v>
      </c>
      <c r="D16">
        <v>0.71599999999999997</v>
      </c>
      <c r="E16">
        <v>2.8000000000000001E-2</v>
      </c>
      <c r="F16">
        <v>25.164999999999999</v>
      </c>
      <c r="G16">
        <v>0</v>
      </c>
      <c r="J16">
        <v>17.366</v>
      </c>
      <c r="K16">
        <v>1</v>
      </c>
      <c r="L16">
        <v>0</v>
      </c>
      <c r="M16" t="s">
        <v>151</v>
      </c>
      <c r="N16" t="s">
        <v>12</v>
      </c>
      <c r="O16" t="s">
        <v>13</v>
      </c>
    </row>
    <row r="17" spans="1:15" x14ac:dyDescent="0.2">
      <c r="A17" t="s">
        <v>158</v>
      </c>
      <c r="B17" t="s">
        <v>152</v>
      </c>
      <c r="C17" t="s">
        <v>73</v>
      </c>
      <c r="D17">
        <v>0.28399999999999997</v>
      </c>
      <c r="E17">
        <v>2.8000000000000001E-2</v>
      </c>
      <c r="F17">
        <v>9.9860000000000007</v>
      </c>
      <c r="G17">
        <v>0</v>
      </c>
      <c r="J17">
        <v>17.366</v>
      </c>
      <c r="K17">
        <v>1</v>
      </c>
      <c r="L17">
        <v>0</v>
      </c>
      <c r="M17" t="s">
        <v>151</v>
      </c>
      <c r="N17" t="s">
        <v>12</v>
      </c>
      <c r="O17" t="s">
        <v>13</v>
      </c>
    </row>
    <row r="18" spans="1:15" hidden="1" x14ac:dyDescent="0.2">
      <c r="A18" t="s">
        <v>159</v>
      </c>
      <c r="B18" t="s">
        <v>150</v>
      </c>
      <c r="C18" t="s">
        <v>72</v>
      </c>
      <c r="D18">
        <v>0</v>
      </c>
      <c r="E18">
        <v>1E-3</v>
      </c>
      <c r="F18">
        <v>0.24099999999999999</v>
      </c>
      <c r="G18">
        <v>0.81</v>
      </c>
      <c r="J18">
        <v>4.2450000000000001</v>
      </c>
      <c r="K18">
        <v>1</v>
      </c>
      <c r="L18">
        <v>3.9399999999999998E-2</v>
      </c>
      <c r="M18" t="s">
        <v>151</v>
      </c>
      <c r="N18" t="s">
        <v>12</v>
      </c>
      <c r="O18" t="s">
        <v>36</v>
      </c>
    </row>
    <row r="19" spans="1:15" hidden="1" x14ac:dyDescent="0.2">
      <c r="A19" t="s">
        <v>159</v>
      </c>
      <c r="B19" t="s">
        <v>152</v>
      </c>
      <c r="C19" t="s">
        <v>72</v>
      </c>
      <c r="D19">
        <v>1</v>
      </c>
      <c r="E19">
        <v>1E-3</v>
      </c>
      <c r="F19">
        <v>1707.4770000000001</v>
      </c>
      <c r="G19">
        <v>0</v>
      </c>
      <c r="J19">
        <v>4.2450000000000001</v>
      </c>
      <c r="K19">
        <v>1</v>
      </c>
      <c r="L19">
        <v>3.9399999999999998E-2</v>
      </c>
      <c r="M19" t="s">
        <v>151</v>
      </c>
      <c r="N19" t="s">
        <v>12</v>
      </c>
      <c r="O19" t="s">
        <v>36</v>
      </c>
    </row>
    <row r="20" spans="1:15" hidden="1" x14ac:dyDescent="0.2">
      <c r="A20" t="s">
        <v>159</v>
      </c>
      <c r="B20" t="s">
        <v>150</v>
      </c>
      <c r="C20" t="s">
        <v>73</v>
      </c>
      <c r="D20">
        <v>0.42699999999999999</v>
      </c>
      <c r="E20">
        <v>3.5000000000000003E-2</v>
      </c>
      <c r="F20">
        <v>12.247</v>
      </c>
      <c r="G20">
        <v>0</v>
      </c>
      <c r="J20">
        <v>4.2450000000000001</v>
      </c>
      <c r="K20">
        <v>1</v>
      </c>
      <c r="L20">
        <v>3.9399999999999998E-2</v>
      </c>
      <c r="M20" t="s">
        <v>151</v>
      </c>
      <c r="N20" t="s">
        <v>12</v>
      </c>
      <c r="O20" t="s">
        <v>36</v>
      </c>
    </row>
    <row r="21" spans="1:15" hidden="1" x14ac:dyDescent="0.2">
      <c r="A21" t="s">
        <v>159</v>
      </c>
      <c r="B21" t="s">
        <v>152</v>
      </c>
      <c r="C21" t="s">
        <v>73</v>
      </c>
      <c r="D21">
        <v>0.57299999999999995</v>
      </c>
      <c r="E21">
        <v>3.5000000000000003E-2</v>
      </c>
      <c r="F21">
        <v>16.448</v>
      </c>
      <c r="G21">
        <v>0</v>
      </c>
      <c r="J21">
        <v>4.2450000000000001</v>
      </c>
      <c r="K21">
        <v>1</v>
      </c>
      <c r="L21">
        <v>3.9399999999999998E-2</v>
      </c>
      <c r="M21" t="s">
        <v>151</v>
      </c>
      <c r="N21" t="s">
        <v>12</v>
      </c>
      <c r="O21" t="s">
        <v>36</v>
      </c>
    </row>
    <row r="22" spans="1:15" x14ac:dyDescent="0.2">
      <c r="A22" t="s">
        <v>160</v>
      </c>
      <c r="B22" t="s">
        <v>154</v>
      </c>
      <c r="C22" t="s">
        <v>72</v>
      </c>
      <c r="D22">
        <v>11.409000000000001</v>
      </c>
      <c r="E22">
        <v>1.325</v>
      </c>
      <c r="F22">
        <v>8.61</v>
      </c>
      <c r="G22">
        <v>0</v>
      </c>
      <c r="H22">
        <v>8.8119999999999994</v>
      </c>
      <c r="I22">
        <v>14.006</v>
      </c>
      <c r="J22">
        <v>172.40100000000001</v>
      </c>
      <c r="K22">
        <v>1</v>
      </c>
      <c r="L22">
        <v>0</v>
      </c>
      <c r="M22" t="s">
        <v>155</v>
      </c>
      <c r="N22" t="s">
        <v>12</v>
      </c>
      <c r="O22" t="s">
        <v>13</v>
      </c>
    </row>
    <row r="23" spans="1:15" hidden="1" x14ac:dyDescent="0.2">
      <c r="A23" t="s">
        <v>160</v>
      </c>
      <c r="B23" t="s">
        <v>156</v>
      </c>
      <c r="C23" t="s">
        <v>72</v>
      </c>
      <c r="D23">
        <v>1</v>
      </c>
      <c r="E23">
        <v>0</v>
      </c>
      <c r="F23">
        <v>999</v>
      </c>
      <c r="G23">
        <v>999</v>
      </c>
      <c r="H23">
        <v>1</v>
      </c>
      <c r="I23">
        <v>1</v>
      </c>
      <c r="J23">
        <v>172.40100000000001</v>
      </c>
      <c r="K23">
        <v>1</v>
      </c>
      <c r="L23">
        <v>0</v>
      </c>
      <c r="M23" t="s">
        <v>155</v>
      </c>
      <c r="N23" t="s">
        <v>12</v>
      </c>
      <c r="O23" t="s">
        <v>13</v>
      </c>
    </row>
    <row r="24" spans="1:15" x14ac:dyDescent="0.2">
      <c r="A24" t="s">
        <v>160</v>
      </c>
      <c r="B24" t="s">
        <v>154</v>
      </c>
      <c r="C24" t="s">
        <v>73</v>
      </c>
      <c r="D24">
        <v>1.585</v>
      </c>
      <c r="E24">
        <v>0.14399999999999999</v>
      </c>
      <c r="F24">
        <v>11.018000000000001</v>
      </c>
      <c r="G24">
        <v>0</v>
      </c>
      <c r="H24">
        <v>1.3029999999999999</v>
      </c>
      <c r="I24">
        <v>1.867</v>
      </c>
      <c r="J24">
        <v>172.40100000000001</v>
      </c>
      <c r="K24">
        <v>1</v>
      </c>
      <c r="L24">
        <v>0</v>
      </c>
      <c r="M24" t="s">
        <v>155</v>
      </c>
      <c r="N24" t="s">
        <v>12</v>
      </c>
      <c r="O24" t="s">
        <v>13</v>
      </c>
    </row>
    <row r="25" spans="1:15" hidden="1" x14ac:dyDescent="0.2">
      <c r="A25" t="s">
        <v>160</v>
      </c>
      <c r="B25" t="s">
        <v>156</v>
      </c>
      <c r="C25" t="s">
        <v>73</v>
      </c>
      <c r="D25">
        <v>1</v>
      </c>
      <c r="E25">
        <v>0</v>
      </c>
      <c r="F25">
        <v>999</v>
      </c>
      <c r="G25">
        <v>999</v>
      </c>
      <c r="H25">
        <v>1</v>
      </c>
      <c r="I25">
        <v>1</v>
      </c>
      <c r="J25">
        <v>172.40100000000001</v>
      </c>
      <c r="K25">
        <v>1</v>
      </c>
      <c r="L25">
        <v>0</v>
      </c>
      <c r="M25" t="s">
        <v>155</v>
      </c>
      <c r="N25" t="s">
        <v>12</v>
      </c>
      <c r="O25" t="s">
        <v>13</v>
      </c>
    </row>
    <row r="26" spans="1:15" x14ac:dyDescent="0.2">
      <c r="A26" t="s">
        <v>161</v>
      </c>
      <c r="B26" t="s">
        <v>150</v>
      </c>
      <c r="C26" t="s">
        <v>72</v>
      </c>
      <c r="D26">
        <v>0.67700000000000005</v>
      </c>
      <c r="E26">
        <v>4.1000000000000002E-2</v>
      </c>
      <c r="F26">
        <v>16.427</v>
      </c>
      <c r="G26">
        <v>0</v>
      </c>
      <c r="J26">
        <v>18.620999999999999</v>
      </c>
      <c r="K26">
        <v>1</v>
      </c>
      <c r="L26">
        <v>0</v>
      </c>
      <c r="M26" t="s">
        <v>151</v>
      </c>
      <c r="N26" t="s">
        <v>12</v>
      </c>
      <c r="O26" t="s">
        <v>13</v>
      </c>
    </row>
    <row r="27" spans="1:15" x14ac:dyDescent="0.2">
      <c r="A27" t="s">
        <v>161</v>
      </c>
      <c r="B27" t="s">
        <v>152</v>
      </c>
      <c r="C27" t="s">
        <v>72</v>
      </c>
      <c r="D27">
        <v>0.32300000000000001</v>
      </c>
      <c r="E27">
        <v>4.1000000000000002E-2</v>
      </c>
      <c r="F27">
        <v>7.85</v>
      </c>
      <c r="G27">
        <v>0</v>
      </c>
      <c r="J27">
        <v>18.620999999999999</v>
      </c>
      <c r="K27">
        <v>1</v>
      </c>
      <c r="L27">
        <v>0</v>
      </c>
      <c r="M27" t="s">
        <v>151</v>
      </c>
      <c r="N27" t="s">
        <v>12</v>
      </c>
      <c r="O27" t="s">
        <v>13</v>
      </c>
    </row>
    <row r="28" spans="1:15" x14ac:dyDescent="0.2">
      <c r="A28" t="s">
        <v>161</v>
      </c>
      <c r="B28" t="s">
        <v>150</v>
      </c>
      <c r="C28" t="s">
        <v>73</v>
      </c>
      <c r="D28">
        <v>0.873</v>
      </c>
      <c r="E28">
        <v>2.1000000000000001E-2</v>
      </c>
      <c r="F28">
        <v>41.228000000000002</v>
      </c>
      <c r="G28">
        <v>0</v>
      </c>
      <c r="J28">
        <v>18.620999999999999</v>
      </c>
      <c r="K28">
        <v>1</v>
      </c>
      <c r="L28">
        <v>0</v>
      </c>
      <c r="M28" t="s">
        <v>151</v>
      </c>
      <c r="N28" t="s">
        <v>12</v>
      </c>
      <c r="O28" t="s">
        <v>13</v>
      </c>
    </row>
    <row r="29" spans="1:15" x14ac:dyDescent="0.2">
      <c r="A29" t="s">
        <v>161</v>
      </c>
      <c r="B29" t="s">
        <v>152</v>
      </c>
      <c r="C29" t="s">
        <v>73</v>
      </c>
      <c r="D29">
        <v>0.127</v>
      </c>
      <c r="E29">
        <v>2.1000000000000001E-2</v>
      </c>
      <c r="F29">
        <v>6.0220000000000002</v>
      </c>
      <c r="G29">
        <v>0</v>
      </c>
      <c r="J29">
        <v>18.620999999999999</v>
      </c>
      <c r="K29">
        <v>1</v>
      </c>
      <c r="L29">
        <v>0</v>
      </c>
      <c r="M29" t="s">
        <v>151</v>
      </c>
      <c r="N29" t="s">
        <v>12</v>
      </c>
      <c r="O29" t="s">
        <v>13</v>
      </c>
    </row>
    <row r="30" spans="1:15" x14ac:dyDescent="0.2">
      <c r="A30" t="s">
        <v>162</v>
      </c>
      <c r="B30" t="s">
        <v>150</v>
      </c>
      <c r="C30" t="s">
        <v>72</v>
      </c>
      <c r="D30">
        <v>0.04</v>
      </c>
      <c r="E30">
        <v>2.1000000000000001E-2</v>
      </c>
      <c r="F30">
        <v>1.9339999999999999</v>
      </c>
      <c r="G30">
        <v>5.2999999999999999E-2</v>
      </c>
      <c r="J30">
        <v>25.358000000000001</v>
      </c>
      <c r="K30">
        <v>1</v>
      </c>
      <c r="L30">
        <v>0</v>
      </c>
      <c r="M30" t="s">
        <v>151</v>
      </c>
      <c r="N30" t="s">
        <v>12</v>
      </c>
      <c r="O30" t="s">
        <v>13</v>
      </c>
    </row>
    <row r="31" spans="1:15" x14ac:dyDescent="0.2">
      <c r="A31" t="s">
        <v>162</v>
      </c>
      <c r="B31" t="s">
        <v>152</v>
      </c>
      <c r="C31" t="s">
        <v>72</v>
      </c>
      <c r="D31">
        <v>0.96</v>
      </c>
      <c r="E31">
        <v>2.1000000000000001E-2</v>
      </c>
      <c r="F31">
        <v>46.417999999999999</v>
      </c>
      <c r="G31">
        <v>0</v>
      </c>
      <c r="J31">
        <v>25.358000000000001</v>
      </c>
      <c r="K31">
        <v>1</v>
      </c>
      <c r="L31">
        <v>0</v>
      </c>
      <c r="M31" t="s">
        <v>151</v>
      </c>
      <c r="N31" t="s">
        <v>12</v>
      </c>
      <c r="O31" t="s">
        <v>13</v>
      </c>
    </row>
    <row r="32" spans="1:15" x14ac:dyDescent="0.2">
      <c r="A32" t="s">
        <v>162</v>
      </c>
      <c r="B32" t="s">
        <v>150</v>
      </c>
      <c r="C32" t="s">
        <v>73</v>
      </c>
      <c r="D32">
        <v>0.41499999999999998</v>
      </c>
      <c r="E32">
        <v>3.1E-2</v>
      </c>
      <c r="F32">
        <v>13.433</v>
      </c>
      <c r="G32">
        <v>0</v>
      </c>
      <c r="J32">
        <v>25.358000000000001</v>
      </c>
      <c r="K32">
        <v>1</v>
      </c>
      <c r="L32">
        <v>0</v>
      </c>
      <c r="M32" t="s">
        <v>151</v>
      </c>
      <c r="N32" t="s">
        <v>12</v>
      </c>
      <c r="O32" t="s">
        <v>13</v>
      </c>
    </row>
    <row r="33" spans="1:15" x14ac:dyDescent="0.2">
      <c r="A33" t="s">
        <v>162</v>
      </c>
      <c r="B33" t="s">
        <v>152</v>
      </c>
      <c r="C33" t="s">
        <v>73</v>
      </c>
      <c r="D33">
        <v>0.58499999999999996</v>
      </c>
      <c r="E33">
        <v>3.1E-2</v>
      </c>
      <c r="F33">
        <v>18.914999999999999</v>
      </c>
      <c r="G33">
        <v>0</v>
      </c>
      <c r="J33">
        <v>25.358000000000001</v>
      </c>
      <c r="K33">
        <v>1</v>
      </c>
      <c r="L33">
        <v>0</v>
      </c>
      <c r="M33" t="s">
        <v>151</v>
      </c>
      <c r="N33" t="s">
        <v>12</v>
      </c>
      <c r="O33" t="s">
        <v>13</v>
      </c>
    </row>
    <row r="34" spans="1:15" x14ac:dyDescent="0.2">
      <c r="A34" t="s">
        <v>117</v>
      </c>
      <c r="B34" t="s">
        <v>154</v>
      </c>
      <c r="C34" t="s">
        <v>72</v>
      </c>
      <c r="D34">
        <v>1.1459999999999999</v>
      </c>
      <c r="E34">
        <v>8.5999999999999993E-2</v>
      </c>
      <c r="F34">
        <v>13.356</v>
      </c>
      <c r="G34">
        <v>0</v>
      </c>
      <c r="H34">
        <v>0.97799999999999998</v>
      </c>
      <c r="I34">
        <v>1.3140000000000001</v>
      </c>
      <c r="J34">
        <v>98.387</v>
      </c>
      <c r="K34">
        <v>1</v>
      </c>
      <c r="L34">
        <v>0</v>
      </c>
      <c r="M34" t="s">
        <v>155</v>
      </c>
      <c r="N34" t="s">
        <v>12</v>
      </c>
      <c r="O34" t="s">
        <v>13</v>
      </c>
    </row>
    <row r="35" spans="1:15" hidden="1" x14ac:dyDescent="0.2">
      <c r="A35" t="s">
        <v>117</v>
      </c>
      <c r="B35" t="s">
        <v>156</v>
      </c>
      <c r="C35" t="s">
        <v>72</v>
      </c>
      <c r="D35">
        <v>1</v>
      </c>
      <c r="E35">
        <v>0</v>
      </c>
      <c r="F35">
        <v>999</v>
      </c>
      <c r="G35">
        <v>999</v>
      </c>
      <c r="H35">
        <v>1</v>
      </c>
      <c r="I35">
        <v>1</v>
      </c>
      <c r="J35">
        <v>98.387</v>
      </c>
      <c r="K35">
        <v>1</v>
      </c>
      <c r="L35">
        <v>0</v>
      </c>
      <c r="M35" t="s">
        <v>155</v>
      </c>
      <c r="N35" t="s">
        <v>12</v>
      </c>
      <c r="O35" t="s">
        <v>13</v>
      </c>
    </row>
    <row r="36" spans="1:15" x14ac:dyDescent="0.2">
      <c r="A36" t="s">
        <v>117</v>
      </c>
      <c r="B36" t="s">
        <v>154</v>
      </c>
      <c r="C36" t="s">
        <v>73</v>
      </c>
      <c r="D36">
        <v>1.738</v>
      </c>
      <c r="E36">
        <v>8.4000000000000005E-2</v>
      </c>
      <c r="F36">
        <v>20.696999999999999</v>
      </c>
      <c r="G36">
        <v>0</v>
      </c>
      <c r="H36">
        <v>1.573</v>
      </c>
      <c r="I36">
        <v>1.9019999999999999</v>
      </c>
      <c r="J36">
        <v>98.387</v>
      </c>
      <c r="K36">
        <v>1</v>
      </c>
      <c r="L36">
        <v>0</v>
      </c>
      <c r="M36" t="s">
        <v>155</v>
      </c>
      <c r="N36" t="s">
        <v>12</v>
      </c>
      <c r="O36" t="s">
        <v>13</v>
      </c>
    </row>
    <row r="37" spans="1:15" hidden="1" x14ac:dyDescent="0.2">
      <c r="A37" t="s">
        <v>117</v>
      </c>
      <c r="B37" t="s">
        <v>156</v>
      </c>
      <c r="C37" t="s">
        <v>73</v>
      </c>
      <c r="D37">
        <v>1</v>
      </c>
      <c r="E37">
        <v>0</v>
      </c>
      <c r="F37">
        <v>999</v>
      </c>
      <c r="G37">
        <v>999</v>
      </c>
      <c r="H37">
        <v>1</v>
      </c>
      <c r="I37">
        <v>1</v>
      </c>
      <c r="J37">
        <v>98.387</v>
      </c>
      <c r="K37">
        <v>1</v>
      </c>
      <c r="L37">
        <v>0</v>
      </c>
      <c r="M37" t="s">
        <v>155</v>
      </c>
      <c r="N37" t="s">
        <v>12</v>
      </c>
      <c r="O37" t="s">
        <v>13</v>
      </c>
    </row>
    <row r="38" spans="1:15" x14ac:dyDescent="0.2">
      <c r="A38" t="s">
        <v>123</v>
      </c>
      <c r="B38" t="s">
        <v>154</v>
      </c>
      <c r="C38" t="s">
        <v>72</v>
      </c>
      <c r="D38">
        <v>5.617</v>
      </c>
      <c r="E38">
        <v>1.0469999999999999</v>
      </c>
      <c r="F38">
        <v>5.3650000000000002</v>
      </c>
      <c r="G38">
        <v>0</v>
      </c>
      <c r="H38">
        <v>3.5649999999999999</v>
      </c>
      <c r="I38">
        <v>7.6689999999999996</v>
      </c>
      <c r="J38">
        <v>44.984999999999999</v>
      </c>
      <c r="K38">
        <v>1</v>
      </c>
      <c r="L38">
        <v>0</v>
      </c>
      <c r="M38" t="s">
        <v>155</v>
      </c>
      <c r="N38" t="s">
        <v>12</v>
      </c>
      <c r="O38" t="s">
        <v>13</v>
      </c>
    </row>
    <row r="39" spans="1:15" hidden="1" x14ac:dyDescent="0.2">
      <c r="A39" t="s">
        <v>123</v>
      </c>
      <c r="B39" t="s">
        <v>156</v>
      </c>
      <c r="C39" t="s">
        <v>72</v>
      </c>
      <c r="D39">
        <v>1</v>
      </c>
      <c r="E39">
        <v>0</v>
      </c>
      <c r="F39">
        <v>999</v>
      </c>
      <c r="G39">
        <v>999</v>
      </c>
      <c r="H39">
        <v>1</v>
      </c>
      <c r="I39">
        <v>1</v>
      </c>
      <c r="J39">
        <v>44.984999999999999</v>
      </c>
      <c r="K39">
        <v>1</v>
      </c>
      <c r="L39">
        <v>0</v>
      </c>
      <c r="M39" t="s">
        <v>155</v>
      </c>
      <c r="N39" t="s">
        <v>12</v>
      </c>
      <c r="O39" t="s">
        <v>13</v>
      </c>
    </row>
    <row r="40" spans="1:15" x14ac:dyDescent="0.2">
      <c r="A40" t="s">
        <v>123</v>
      </c>
      <c r="B40" t="s">
        <v>154</v>
      </c>
      <c r="C40" t="s">
        <v>73</v>
      </c>
      <c r="D40">
        <v>3.4729999999999999</v>
      </c>
      <c r="E40">
        <v>0.21</v>
      </c>
      <c r="F40">
        <v>16.536000000000001</v>
      </c>
      <c r="G40">
        <v>0</v>
      </c>
      <c r="H40">
        <v>3.0609999999999999</v>
      </c>
      <c r="I40">
        <v>3.8839999999999999</v>
      </c>
      <c r="J40">
        <v>44.984999999999999</v>
      </c>
      <c r="K40">
        <v>1</v>
      </c>
      <c r="L40">
        <v>0</v>
      </c>
      <c r="M40" t="s">
        <v>155</v>
      </c>
      <c r="N40" t="s">
        <v>12</v>
      </c>
      <c r="O40" t="s">
        <v>13</v>
      </c>
    </row>
    <row r="41" spans="1:15" hidden="1" x14ac:dyDescent="0.2">
      <c r="A41" t="s">
        <v>123</v>
      </c>
      <c r="B41" t="s">
        <v>156</v>
      </c>
      <c r="C41" t="s">
        <v>73</v>
      </c>
      <c r="D41">
        <v>1</v>
      </c>
      <c r="E41">
        <v>0</v>
      </c>
      <c r="F41">
        <v>999</v>
      </c>
      <c r="G41">
        <v>999</v>
      </c>
      <c r="H41">
        <v>1</v>
      </c>
      <c r="I41">
        <v>1</v>
      </c>
      <c r="J41">
        <v>44.984999999999999</v>
      </c>
      <c r="K41">
        <v>1</v>
      </c>
      <c r="L41">
        <v>0</v>
      </c>
      <c r="M41" t="s">
        <v>155</v>
      </c>
      <c r="N41" t="s">
        <v>12</v>
      </c>
      <c r="O41" t="s">
        <v>13</v>
      </c>
    </row>
  </sheetData>
  <autoFilter ref="A1:Q41" xr:uid="{00000000-0001-0000-0300-000000000000}">
    <filterColumn colId="1">
      <filters>
        <filter val="Category1"/>
        <filter val="Category2"/>
        <filter val="Means"/>
      </filters>
    </filterColumn>
    <filterColumn colId="11">
      <customFilters>
        <customFilter operator="lessThan" val="5.0000000000000001E-3"/>
      </customFilters>
    </filterColumn>
  </autoFilter>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R3STEP</vt:lpstr>
      <vt:lpstr>TVCREG</vt:lpstr>
      <vt:lpstr>MixREG</vt:lpstr>
      <vt:lpstr>D3STEP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olivierpercie</dc:creator>
  <cp:lastModifiedBy>Microsoft Office User</cp:lastModifiedBy>
  <dcterms:created xsi:type="dcterms:W3CDTF">2023-02-15T23:40:12Z</dcterms:created>
  <dcterms:modified xsi:type="dcterms:W3CDTF">2023-02-16T18:23:20Z</dcterms:modified>
</cp:coreProperties>
</file>