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olivierpercie/Desktop/MplusLGM/SOFAS/Results/"/>
    </mc:Choice>
  </mc:AlternateContent>
  <xr:revisionPtr revIDLastSave="0" documentId="13_ncr:1_{E1A6B2CD-53D0-B24D-8BBF-8E24A9055E2B}" xr6:coauthVersionLast="47" xr6:coauthVersionMax="47" xr10:uidLastSave="{00000000-0000-0000-0000-000000000000}"/>
  <bookViews>
    <workbookView xWindow="0" yWindow="500" windowWidth="28800" windowHeight="16080" activeTab="2" xr2:uid="{00000000-000D-0000-FFFF-FFFF00000000}"/>
  </bookViews>
  <sheets>
    <sheet name="R3STEP" sheetId="1" r:id="rId1"/>
    <sheet name="TVCreg" sheetId="2" r:id="rId2"/>
    <sheet name="D3STEP" sheetId="3" r:id="rId3"/>
  </sheets>
  <definedNames>
    <definedName name="_xlnm._FilterDatabase" localSheetId="2" hidden="1">D3STEP!$A$1:$Q$41</definedName>
    <definedName name="_xlnm._FilterDatabase" localSheetId="0" hidden="1">'R3STEP'!$F$1:$F$52</definedName>
    <definedName name="_xlnm._FilterDatabase" localSheetId="1" hidden="1">TVCreg!$G$1:$G$50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3" l="1"/>
  <c r="N1" i="2"/>
  <c r="M1" i="1"/>
</calcChain>
</file>

<file path=xl/sharedStrings.xml><?xml version="1.0" encoding="utf-8"?>
<sst xmlns="http://schemas.openxmlformats.org/spreadsheetml/2006/main" count="686" uniqueCount="150">
  <si>
    <t>paramHeader</t>
  </si>
  <si>
    <t>param</t>
  </si>
  <si>
    <t>est</t>
  </si>
  <si>
    <t>se</t>
  </si>
  <si>
    <t>pval</t>
  </si>
  <si>
    <t>low2.5</t>
  </si>
  <si>
    <t>up2.5</t>
  </si>
  <si>
    <t>warnings</t>
  </si>
  <si>
    <t>errors</t>
  </si>
  <si>
    <t>sig</t>
  </si>
  <si>
    <t>C#1.ON</t>
  </si>
  <si>
    <t>AGEENTRY</t>
  </si>
  <si>
    <t>NA</t>
  </si>
  <si>
    <t>AGEONSET</t>
  </si>
  <si>
    <t>CDS_0</t>
  </si>
  <si>
    <t>DUPONSET</t>
  </si>
  <si>
    <t>DX_SPECT1</t>
  </si>
  <si>
    <t>*</t>
  </si>
  <si>
    <t>EDUC_NUM</t>
  </si>
  <si>
    <t>***</t>
  </si>
  <si>
    <t>FIQ</t>
  </si>
  <si>
    <t>**</t>
  </si>
  <si>
    <t>GENDER1</t>
  </si>
  <si>
    <t>HAS_0</t>
  </si>
  <si>
    <t>HOLLTOTP</t>
  </si>
  <si>
    <t>HOUSING1</t>
  </si>
  <si>
    <t>HOUSING2</t>
  </si>
  <si>
    <t>HOUSING3</t>
  </si>
  <si>
    <t>MARITAL21</t>
  </si>
  <si>
    <t>MARITAL22</t>
  </si>
  <si>
    <t>MINORITY1</t>
  </si>
  <si>
    <t>PAS_TOT2</t>
  </si>
  <si>
    <t>SANS_0</t>
  </si>
  <si>
    <t>SAPS_0</t>
  </si>
  <si>
    <t>SOFAS_0</t>
  </si>
  <si>
    <t>SUD1</t>
  </si>
  <si>
    <t>WORK1</t>
  </si>
  <si>
    <t>WORK2</t>
  </si>
  <si>
    <t>YMRS_0</t>
  </si>
  <si>
    <t>Intercepts ageentry</t>
  </si>
  <si>
    <t>C#1</t>
  </si>
  <si>
    <t>Intercepts ageonset</t>
  </si>
  <si>
    <t>Intercepts CDS_0</t>
  </si>
  <si>
    <t>Intercepts duponset</t>
  </si>
  <si>
    <t>Intercepts dx_spect</t>
  </si>
  <si>
    <t>Intercepts educ_num</t>
  </si>
  <si>
    <t>Intercepts FIQ</t>
  </si>
  <si>
    <t>Intercepts gender</t>
  </si>
  <si>
    <t>Intercepts HAS_0</t>
  </si>
  <si>
    <t>Intercepts holltotp</t>
  </si>
  <si>
    <t>Intercepts housing</t>
  </si>
  <si>
    <t>Intercepts marital2</t>
  </si>
  <si>
    <t>Intercepts minority</t>
  </si>
  <si>
    <t>Intercepts PAS_tot2</t>
  </si>
  <si>
    <t>Intercepts SANS_0</t>
  </si>
  <si>
    <t>Intercepts SAPS_0</t>
  </si>
  <si>
    <t>Intercepts SOFAS_0</t>
  </si>
  <si>
    <t>Intercepts SUD</t>
  </si>
  <si>
    <t>Intercepts work</t>
  </si>
  <si>
    <t>Intercepts YMRS_0</t>
  </si>
  <si>
    <t>LatentClass</t>
  </si>
  <si>
    <t>CDS</t>
  </si>
  <si>
    <t>SOFAS_0.ON</t>
  </si>
  <si>
    <t>1</t>
  </si>
  <si>
    <t>-0.523</t>
  </si>
  <si>
    <t>2</t>
  </si>
  <si>
    <t>0.1</t>
  </si>
  <si>
    <t>SOFAS_12.ON</t>
  </si>
  <si>
    <t>CDS_12</t>
  </si>
  <si>
    <t>-1.231</t>
  </si>
  <si>
    <t>-0.289</t>
  </si>
  <si>
    <t>SOFAS_24.ON</t>
  </si>
  <si>
    <t>CDS_24</t>
  </si>
  <si>
    <t>-2.138</t>
  </si>
  <si>
    <t>-2.046</t>
  </si>
  <si>
    <t>HAS</t>
  </si>
  <si>
    <t>-1.077</t>
  </si>
  <si>
    <t>-0.811</t>
  </si>
  <si>
    <t>HAS_12</t>
  </si>
  <si>
    <t>-2.366</t>
  </si>
  <si>
    <t>-4.214</t>
  </si>
  <si>
    <t>HAS_24</t>
  </si>
  <si>
    <t>-3.131</t>
  </si>
  <si>
    <t>0.71</t>
  </si>
  <si>
    <t>NSR</t>
  </si>
  <si>
    <t>NSR_01</t>
  </si>
  <si>
    <t>-5.581</t>
  </si>
  <si>
    <t>-24.326</t>
  </si>
  <si>
    <t>NSR_121</t>
  </si>
  <si>
    <t>-18.08</t>
  </si>
  <si>
    <t>-23.401</t>
  </si>
  <si>
    <t>NSR_241</t>
  </si>
  <si>
    <t>-20.461</t>
  </si>
  <si>
    <t>20.567</t>
  </si>
  <si>
    <t>PSR</t>
  </si>
  <si>
    <t>cWARNING  THE BEST LOGLIKELIHOOD VALUE WAS NOT REPLICATED  THE SOLUTION MAY NOT BE TRUSTWORTHY DUE TO LOCAL MAXIMA  INCREASE THE NUMBER OF RANDOM STARTS</t>
  </si>
  <si>
    <t xml:space="preserve">cONE OR MORE PARAMETERS WERE FIXED TO AVOID SINGULARITY OF THE INFORMATION MATRIX THE SINGULARITY IS MOST LIKELY BECAUSE THE MODEL IS NOT IDENTIFIED OR BECAUSE OF EMPTY CELLS IN THE JOINT DISTRIBUTION OF THE CATEGORICAL VARIABLES IN THE MODEL THE FOLLOWING PARAMETERS WERE FIXED Parameter 22 C2  SOFAS0  Parameter 23 C2  SOFAS12  Parameter 24 C2  SOFAS24  Parameter 25 C2  PSR01  Parameter 26 C2  PSR121  Parameter 27 C2  PSR241  
Parameter 28 C2 SOFAS0 ON PSR01 Parameter 29 C2 SOFAS12 ON PSR121 Parameter 30 C2 SOFAS24 ON PSR241 Parameter 31 C2 PSR01 Parameter 32 C2 PSR121 Parameter 33 C2 PSR241 Parameter 34  C1 </t>
  </si>
  <si>
    <t>PSR_01</t>
  </si>
  <si>
    <t>-1.067</t>
  </si>
  <si>
    <t>-26.007</t>
  </si>
  <si>
    <t>PSR_121</t>
  </si>
  <si>
    <t>-7.759</t>
  </si>
  <si>
    <t>-29.35</t>
  </si>
  <si>
    <t>PSR_241</t>
  </si>
  <si>
    <t>-11.398</t>
  </si>
  <si>
    <t>-29.173</t>
  </si>
  <si>
    <t>SANS</t>
  </si>
  <si>
    <t>-6.93</t>
  </si>
  <si>
    <t>-5.693</t>
  </si>
  <si>
    <t>SANS_12</t>
  </si>
  <si>
    <t>-12.448</t>
  </si>
  <si>
    <t>-5.746</t>
  </si>
  <si>
    <t>SANS_24</t>
  </si>
  <si>
    <t>-8.302</t>
  </si>
  <si>
    <t>-10.889</t>
  </si>
  <si>
    <t>SAPS</t>
  </si>
  <si>
    <t>-1.962</t>
  </si>
  <si>
    <t>-1.951</t>
  </si>
  <si>
    <t>SAPS_12</t>
  </si>
  <si>
    <t>-5.299</t>
  </si>
  <si>
    <t>-3.797</t>
  </si>
  <si>
    <t>SAPS_24</t>
  </si>
  <si>
    <t>-2.311</t>
  </si>
  <si>
    <t>-4.399</t>
  </si>
  <si>
    <t>YMRS</t>
  </si>
  <si>
    <t>0.177</t>
  </si>
  <si>
    <t>0.834</t>
  </si>
  <si>
    <t>YMRS_12</t>
  </si>
  <si>
    <t>-0.36</t>
  </si>
  <si>
    <t>-2.594</t>
  </si>
  <si>
    <t>YMRS_24</t>
  </si>
  <si>
    <t>-0.986</t>
  </si>
  <si>
    <t>-2.378</t>
  </si>
  <si>
    <t>WaldChiSq_Value</t>
  </si>
  <si>
    <t>WaldChiSq_DF</t>
  </si>
  <si>
    <t>WaldChiSq_PValue</t>
  </si>
  <si>
    <t>NSR_24</t>
  </si>
  <si>
    <t>Category1</t>
  </si>
  <si>
    <t>Category2</t>
  </si>
  <si>
    <t>NSR_24C</t>
  </si>
  <si>
    <t>Means</t>
  </si>
  <si>
    <t>Variances</t>
  </si>
  <si>
    <t>NSR_AT3</t>
  </si>
  <si>
    <t>NSR_BY3</t>
  </si>
  <si>
    <t>PSR_24</t>
  </si>
  <si>
    <t>PSR_24C</t>
  </si>
  <si>
    <t>PSR_AT3</t>
  </si>
  <si>
    <t>PSR_BY3</t>
  </si>
  <si>
    <t>tval</t>
  </si>
  <si>
    <t>Boneferroni corrected 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</si>
</sst>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
  </numFmts>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2"/>
  <sheetViews>
    <sheetView workbookViewId="0">
      <selection activeCell="C23" sqref="C23"/>
    </sheetView>
  </sheetViews>
  <sheetFormatPr baseColWidth="10" defaultRowHeight="15" x14ac:dyDescent="0.2"/>
  <cols>
    <col min="1" max="1" width="18" customWidth="1"/>
    <col min="12" max="12" width="23.83203125" customWidth="1"/>
  </cols>
  <sheetData>
    <row r="1" spans="1:13" x14ac:dyDescent="0.2">
      <c r="A1" t="s">
        <v>0</v>
      </c>
      <c r="B1" t="s">
        <v>1</v>
      </c>
      <c r="C1" t="s">
        <v>2</v>
      </c>
      <c r="D1" t="s">
        <v>3</v>
      </c>
      <c r="E1" t="s">
        <v>148</v>
      </c>
      <c r="F1" t="s">
        <v>4</v>
      </c>
      <c r="G1" t="s">
        <v>5</v>
      </c>
      <c r="H1" t="s">
        <v>6</v>
      </c>
      <c r="I1" t="s">
        <v>7</v>
      </c>
      <c r="J1" t="s">
        <v>8</v>
      </c>
      <c r="K1" t="s">
        <v>9</v>
      </c>
      <c r="L1" t="s">
        <v>149</v>
      </c>
      <c r="M1" s="1">
        <f>0.05/24</f>
        <v>2.0833333333333333E-3</v>
      </c>
    </row>
    <row r="2" spans="1:13" hidden="1" x14ac:dyDescent="0.2">
      <c r="A2" t="s">
        <v>10</v>
      </c>
      <c r="B2" t="s">
        <v>11</v>
      </c>
      <c r="C2">
        <v>2.1999999999999999E-2</v>
      </c>
      <c r="D2">
        <v>2.8000000000000001E-2</v>
      </c>
      <c r="E2">
        <v>0.76900000000000002</v>
      </c>
      <c r="F2">
        <v>0.442</v>
      </c>
      <c r="G2">
        <v>-3.4000000000000002E-2</v>
      </c>
      <c r="H2">
        <v>7.6999999999999999E-2</v>
      </c>
      <c r="I2" t="s">
        <v>12</v>
      </c>
      <c r="J2" t="s">
        <v>12</v>
      </c>
    </row>
    <row r="3" spans="1:13" hidden="1" x14ac:dyDescent="0.2">
      <c r="A3" t="s">
        <v>10</v>
      </c>
      <c r="B3" t="s">
        <v>13</v>
      </c>
      <c r="C3">
        <v>0.05</v>
      </c>
      <c r="D3">
        <v>0.03</v>
      </c>
      <c r="E3">
        <v>1.671</v>
      </c>
      <c r="F3">
        <v>9.5000000000000001E-2</v>
      </c>
      <c r="G3">
        <v>-8.9999999999999993E-3</v>
      </c>
      <c r="H3">
        <v>0.109</v>
      </c>
      <c r="I3" t="s">
        <v>12</v>
      </c>
      <c r="J3" t="s">
        <v>12</v>
      </c>
    </row>
    <row r="4" spans="1:13" hidden="1" x14ac:dyDescent="0.2">
      <c r="A4" t="s">
        <v>10</v>
      </c>
      <c r="B4" t="s">
        <v>14</v>
      </c>
      <c r="C4">
        <v>2.1000000000000001E-2</v>
      </c>
      <c r="D4">
        <v>2.8000000000000001E-2</v>
      </c>
      <c r="E4">
        <v>0.72799999999999998</v>
      </c>
      <c r="F4">
        <v>0.46600000000000003</v>
      </c>
      <c r="G4">
        <v>-3.5000000000000003E-2</v>
      </c>
      <c r="H4">
        <v>7.6999999999999999E-2</v>
      </c>
      <c r="I4" t="s">
        <v>12</v>
      </c>
      <c r="J4" t="s">
        <v>12</v>
      </c>
    </row>
    <row r="5" spans="1:13" hidden="1" x14ac:dyDescent="0.2">
      <c r="A5" t="s">
        <v>10</v>
      </c>
      <c r="B5" t="s">
        <v>15</v>
      </c>
      <c r="C5">
        <v>-5.0000000000000001E-3</v>
      </c>
      <c r="D5">
        <v>5.0000000000000001E-3</v>
      </c>
      <c r="E5">
        <v>-1.145</v>
      </c>
      <c r="F5">
        <v>0.252</v>
      </c>
      <c r="G5">
        <v>-1.4999999999999999E-2</v>
      </c>
      <c r="H5">
        <v>4.0000000000000001E-3</v>
      </c>
      <c r="I5" t="s">
        <v>12</v>
      </c>
      <c r="J5" t="s">
        <v>12</v>
      </c>
    </row>
    <row r="6" spans="1:13" hidden="1" x14ac:dyDescent="0.2">
      <c r="A6" t="s">
        <v>10</v>
      </c>
      <c r="B6" t="s">
        <v>16</v>
      </c>
      <c r="C6">
        <v>-0.753</v>
      </c>
      <c r="D6">
        <v>0.30299999999999999</v>
      </c>
      <c r="E6">
        <v>-2.4860000000000002</v>
      </c>
      <c r="F6">
        <v>1.2999999999999999E-2</v>
      </c>
      <c r="G6">
        <v>-1.3460000000000001</v>
      </c>
      <c r="H6">
        <v>-0.159</v>
      </c>
      <c r="I6" t="s">
        <v>12</v>
      </c>
      <c r="J6" t="s">
        <v>12</v>
      </c>
      <c r="K6" t="s">
        <v>17</v>
      </c>
    </row>
    <row r="7" spans="1:13" x14ac:dyDescent="0.2">
      <c r="A7" t="s">
        <v>10</v>
      </c>
      <c r="B7" t="s">
        <v>18</v>
      </c>
      <c r="C7">
        <v>0.27300000000000002</v>
      </c>
      <c r="D7">
        <v>7.0000000000000007E-2</v>
      </c>
      <c r="E7">
        <v>3.923</v>
      </c>
      <c r="F7">
        <v>0</v>
      </c>
      <c r="G7">
        <v>0.13700000000000001</v>
      </c>
      <c r="H7">
        <v>0.40899999999999997</v>
      </c>
      <c r="I7" t="s">
        <v>12</v>
      </c>
      <c r="J7" t="s">
        <v>12</v>
      </c>
      <c r="K7" t="s">
        <v>19</v>
      </c>
    </row>
    <row r="8" spans="1:13" hidden="1" x14ac:dyDescent="0.2">
      <c r="A8" t="s">
        <v>10</v>
      </c>
      <c r="B8" t="s">
        <v>20</v>
      </c>
      <c r="C8">
        <v>3.2000000000000001E-2</v>
      </c>
      <c r="D8">
        <v>1.2E-2</v>
      </c>
      <c r="E8">
        <v>2.72</v>
      </c>
      <c r="F8">
        <v>7.0000000000000001E-3</v>
      </c>
      <c r="G8">
        <v>8.9999999999999993E-3</v>
      </c>
      <c r="H8">
        <v>5.3999999999999999E-2</v>
      </c>
      <c r="I8" t="s">
        <v>12</v>
      </c>
      <c r="J8" t="s">
        <v>12</v>
      </c>
      <c r="K8" t="s">
        <v>21</v>
      </c>
    </row>
    <row r="9" spans="1:13" hidden="1" x14ac:dyDescent="0.2">
      <c r="A9" t="s">
        <v>10</v>
      </c>
      <c r="B9" t="s">
        <v>22</v>
      </c>
      <c r="C9">
        <v>-0.71299999999999997</v>
      </c>
      <c r="D9">
        <v>0.29599999999999999</v>
      </c>
      <c r="E9">
        <v>-2.407</v>
      </c>
      <c r="F9">
        <v>1.6E-2</v>
      </c>
      <c r="G9">
        <v>-1.294</v>
      </c>
      <c r="H9">
        <v>-0.13300000000000001</v>
      </c>
      <c r="I9" t="s">
        <v>12</v>
      </c>
      <c r="J9" t="s">
        <v>12</v>
      </c>
      <c r="K9" t="s">
        <v>17</v>
      </c>
    </row>
    <row r="10" spans="1:13" hidden="1" x14ac:dyDescent="0.2">
      <c r="A10" t="s">
        <v>10</v>
      </c>
      <c r="B10" t="s">
        <v>23</v>
      </c>
      <c r="C10">
        <v>-0.05</v>
      </c>
      <c r="D10">
        <v>2.1999999999999999E-2</v>
      </c>
      <c r="E10">
        <v>-2.23</v>
      </c>
      <c r="F10">
        <v>2.5999999999999999E-2</v>
      </c>
      <c r="G10">
        <v>-9.2999999999999999E-2</v>
      </c>
      <c r="H10">
        <v>-6.0000000000000001E-3</v>
      </c>
      <c r="I10" t="s">
        <v>12</v>
      </c>
      <c r="J10" t="s">
        <v>12</v>
      </c>
      <c r="K10" t="s">
        <v>17</v>
      </c>
    </row>
    <row r="11" spans="1:13" x14ac:dyDescent="0.2">
      <c r="A11" t="s">
        <v>10</v>
      </c>
      <c r="B11" t="s">
        <v>24</v>
      </c>
      <c r="C11">
        <v>-4.7E-2</v>
      </c>
      <c r="D11">
        <v>1.2E-2</v>
      </c>
      <c r="E11">
        <v>-3.75</v>
      </c>
      <c r="F11">
        <v>0</v>
      </c>
      <c r="G11">
        <v>-7.0999999999999994E-2</v>
      </c>
      <c r="H11">
        <v>-2.1999999999999999E-2</v>
      </c>
      <c r="I11" t="s">
        <v>12</v>
      </c>
      <c r="J11" t="s">
        <v>12</v>
      </c>
      <c r="K11" t="s">
        <v>19</v>
      </c>
    </row>
    <row r="12" spans="1:13" hidden="1" x14ac:dyDescent="0.2">
      <c r="A12" t="s">
        <v>10</v>
      </c>
      <c r="B12" t="s">
        <v>25</v>
      </c>
      <c r="C12">
        <v>1.9730000000000001</v>
      </c>
      <c r="D12">
        <v>1.478</v>
      </c>
      <c r="E12">
        <v>1.3340000000000001</v>
      </c>
      <c r="F12">
        <v>0.182</v>
      </c>
      <c r="G12">
        <v>-0.92500000000000004</v>
      </c>
      <c r="H12">
        <v>4.87</v>
      </c>
      <c r="I12" t="s">
        <v>12</v>
      </c>
      <c r="J12" t="s">
        <v>12</v>
      </c>
    </row>
    <row r="13" spans="1:13" hidden="1" x14ac:dyDescent="0.2">
      <c r="A13" t="s">
        <v>10</v>
      </c>
      <c r="B13" t="s">
        <v>26</v>
      </c>
      <c r="C13">
        <v>1.944</v>
      </c>
      <c r="D13">
        <v>1.51</v>
      </c>
      <c r="E13">
        <v>1.2869999999999999</v>
      </c>
      <c r="F13">
        <v>0.19800000000000001</v>
      </c>
      <c r="G13">
        <v>-1.0149999999999999</v>
      </c>
      <c r="H13">
        <v>4.9020000000000001</v>
      </c>
      <c r="I13" t="s">
        <v>12</v>
      </c>
      <c r="J13" t="s">
        <v>12</v>
      </c>
    </row>
    <row r="14" spans="1:13" hidden="1" x14ac:dyDescent="0.2">
      <c r="A14" t="s">
        <v>10</v>
      </c>
      <c r="B14" t="s">
        <v>27</v>
      </c>
      <c r="C14">
        <v>0.91500000000000004</v>
      </c>
      <c r="D14">
        <v>1.78</v>
      </c>
      <c r="E14">
        <v>0.51400000000000001</v>
      </c>
      <c r="F14">
        <v>0.60699999999999998</v>
      </c>
      <c r="G14">
        <v>-2.573</v>
      </c>
      <c r="H14">
        <v>4.4039999999999999</v>
      </c>
      <c r="I14" t="s">
        <v>12</v>
      </c>
      <c r="J14" t="s">
        <v>12</v>
      </c>
    </row>
    <row r="15" spans="1:13" hidden="1" x14ac:dyDescent="0.2">
      <c r="A15" t="s">
        <v>10</v>
      </c>
      <c r="B15" t="s">
        <v>28</v>
      </c>
      <c r="C15">
        <v>-1.6479999999999999</v>
      </c>
      <c r="D15">
        <v>1.8540000000000001</v>
      </c>
      <c r="E15">
        <v>-0.88900000000000001</v>
      </c>
      <c r="F15">
        <v>0.374</v>
      </c>
      <c r="G15">
        <v>-5.2809999999999997</v>
      </c>
      <c r="H15">
        <v>1.9850000000000001</v>
      </c>
      <c r="I15" t="s">
        <v>12</v>
      </c>
      <c r="J15" t="s">
        <v>12</v>
      </c>
    </row>
    <row r="16" spans="1:13" hidden="1" x14ac:dyDescent="0.2">
      <c r="A16" t="s">
        <v>10</v>
      </c>
      <c r="B16" t="s">
        <v>29</v>
      </c>
      <c r="C16">
        <v>-0.94099999999999995</v>
      </c>
      <c r="D16">
        <v>1.911</v>
      </c>
      <c r="E16">
        <v>-0.49199999999999999</v>
      </c>
      <c r="F16">
        <v>0.622</v>
      </c>
      <c r="G16">
        <v>-4.6870000000000003</v>
      </c>
      <c r="H16">
        <v>2.8050000000000002</v>
      </c>
      <c r="I16" t="s">
        <v>12</v>
      </c>
      <c r="J16" t="s">
        <v>12</v>
      </c>
    </row>
    <row r="17" spans="1:11" hidden="1" x14ac:dyDescent="0.2">
      <c r="A17" t="s">
        <v>10</v>
      </c>
      <c r="B17" t="s">
        <v>30</v>
      </c>
      <c r="C17">
        <v>-0.21299999999999999</v>
      </c>
      <c r="D17">
        <v>0.28699999999999998</v>
      </c>
      <c r="E17">
        <v>-0.74299999999999999</v>
      </c>
      <c r="F17">
        <v>0.45800000000000002</v>
      </c>
      <c r="G17">
        <v>-0.77700000000000002</v>
      </c>
      <c r="H17">
        <v>0.35</v>
      </c>
      <c r="I17" t="s">
        <v>12</v>
      </c>
      <c r="J17" t="s">
        <v>12</v>
      </c>
    </row>
    <row r="18" spans="1:11" hidden="1" x14ac:dyDescent="0.2">
      <c r="A18" t="s">
        <v>10</v>
      </c>
      <c r="B18" t="s">
        <v>31</v>
      </c>
      <c r="C18">
        <v>-4.1150000000000002</v>
      </c>
      <c r="D18">
        <v>1.383</v>
      </c>
      <c r="E18">
        <v>-2.976</v>
      </c>
      <c r="F18">
        <v>3.0000000000000001E-3</v>
      </c>
      <c r="G18">
        <v>-6.8250000000000002</v>
      </c>
      <c r="H18">
        <v>-1.405</v>
      </c>
      <c r="I18" t="s">
        <v>12</v>
      </c>
      <c r="J18" t="s">
        <v>12</v>
      </c>
      <c r="K18" t="s">
        <v>21</v>
      </c>
    </row>
    <row r="19" spans="1:11" x14ac:dyDescent="0.2">
      <c r="A19" t="s">
        <v>10</v>
      </c>
      <c r="B19" t="s">
        <v>32</v>
      </c>
      <c r="C19">
        <v>-0.214</v>
      </c>
      <c r="D19">
        <v>0.04</v>
      </c>
      <c r="E19">
        <v>-5.3710000000000004</v>
      </c>
      <c r="F19">
        <v>0</v>
      </c>
      <c r="G19">
        <v>-0.29199999999999998</v>
      </c>
      <c r="H19">
        <v>-0.13600000000000001</v>
      </c>
      <c r="I19" t="s">
        <v>12</v>
      </c>
      <c r="J19" t="s">
        <v>12</v>
      </c>
      <c r="K19" t="s">
        <v>19</v>
      </c>
    </row>
    <row r="20" spans="1:11" hidden="1" x14ac:dyDescent="0.2">
      <c r="A20" t="s">
        <v>10</v>
      </c>
      <c r="B20" t="s">
        <v>33</v>
      </c>
      <c r="C20">
        <v>-0.1</v>
      </c>
      <c r="D20">
        <v>4.3999999999999997E-2</v>
      </c>
      <c r="E20">
        <v>-2.254</v>
      </c>
      <c r="F20">
        <v>2.4E-2</v>
      </c>
      <c r="G20">
        <v>-0.187</v>
      </c>
      <c r="H20">
        <v>-1.2999999999999999E-2</v>
      </c>
      <c r="I20" t="s">
        <v>12</v>
      </c>
      <c r="J20" t="s">
        <v>12</v>
      </c>
      <c r="K20" t="s">
        <v>17</v>
      </c>
    </row>
    <row r="21" spans="1:11" x14ac:dyDescent="0.2">
      <c r="A21" t="s">
        <v>10</v>
      </c>
      <c r="B21" t="s">
        <v>34</v>
      </c>
      <c r="C21">
        <v>9.1999999999999998E-2</v>
      </c>
      <c r="D21">
        <v>1.7999999999999999E-2</v>
      </c>
      <c r="E21">
        <v>5.23</v>
      </c>
      <c r="F21">
        <v>0</v>
      </c>
      <c r="G21">
        <v>5.7000000000000002E-2</v>
      </c>
      <c r="H21">
        <v>0.126</v>
      </c>
      <c r="I21" t="s">
        <v>12</v>
      </c>
      <c r="J21" t="s">
        <v>12</v>
      </c>
      <c r="K21" t="s">
        <v>19</v>
      </c>
    </row>
    <row r="22" spans="1:11" hidden="1" x14ac:dyDescent="0.2">
      <c r="A22" t="s">
        <v>10</v>
      </c>
      <c r="B22" t="s">
        <v>35</v>
      </c>
      <c r="C22">
        <v>0.84699999999999998</v>
      </c>
      <c r="D22">
        <v>0.40500000000000003</v>
      </c>
      <c r="E22">
        <v>2.089</v>
      </c>
      <c r="F22">
        <v>3.6999999999999998E-2</v>
      </c>
      <c r="G22">
        <v>5.1999999999999998E-2</v>
      </c>
      <c r="H22">
        <v>1.641</v>
      </c>
      <c r="I22" t="s">
        <v>12</v>
      </c>
      <c r="J22" t="s">
        <v>12</v>
      </c>
      <c r="K22" t="s">
        <v>17</v>
      </c>
    </row>
    <row r="23" spans="1:11" x14ac:dyDescent="0.2">
      <c r="A23" t="s">
        <v>10</v>
      </c>
      <c r="B23" t="s">
        <v>36</v>
      </c>
      <c r="C23">
        <v>-1.202</v>
      </c>
      <c r="D23">
        <v>0.371</v>
      </c>
      <c r="E23">
        <v>-3.2370000000000001</v>
      </c>
      <c r="F23">
        <v>1E-3</v>
      </c>
      <c r="G23">
        <v>-1.929</v>
      </c>
      <c r="H23">
        <v>-0.47399999999999998</v>
      </c>
      <c r="I23" t="s">
        <v>12</v>
      </c>
      <c r="J23" t="s">
        <v>12</v>
      </c>
      <c r="K23" t="s">
        <v>21</v>
      </c>
    </row>
    <row r="24" spans="1:11" hidden="1" x14ac:dyDescent="0.2">
      <c r="A24" t="s">
        <v>10</v>
      </c>
      <c r="B24" t="s">
        <v>37</v>
      </c>
      <c r="C24">
        <v>0.16800000000000001</v>
      </c>
      <c r="D24">
        <v>0.56799999999999995</v>
      </c>
      <c r="E24">
        <v>0.29499999999999998</v>
      </c>
      <c r="F24">
        <v>0.76800000000000002</v>
      </c>
      <c r="G24">
        <v>-0.94499999999999995</v>
      </c>
      <c r="H24">
        <v>1.2809999999999999</v>
      </c>
      <c r="I24" t="s">
        <v>12</v>
      </c>
      <c r="J24" t="s">
        <v>12</v>
      </c>
    </row>
    <row r="25" spans="1:11" hidden="1" x14ac:dyDescent="0.2">
      <c r="A25" t="s">
        <v>10</v>
      </c>
      <c r="B25" t="s">
        <v>38</v>
      </c>
      <c r="C25">
        <v>-2.5999999999999999E-2</v>
      </c>
      <c r="D25">
        <v>2.1000000000000001E-2</v>
      </c>
      <c r="E25">
        <v>-1.19</v>
      </c>
      <c r="F25">
        <v>0.23400000000000001</v>
      </c>
      <c r="G25">
        <v>-6.8000000000000005E-2</v>
      </c>
      <c r="H25">
        <v>1.7000000000000001E-2</v>
      </c>
      <c r="I25" t="s">
        <v>12</v>
      </c>
      <c r="J25" t="s">
        <v>12</v>
      </c>
    </row>
    <row r="26" spans="1:11" hidden="1" x14ac:dyDescent="0.2">
      <c r="A26" t="s">
        <v>39</v>
      </c>
      <c r="B26" t="s">
        <v>40</v>
      </c>
      <c r="C26">
        <v>-0.29199999999999998</v>
      </c>
      <c r="D26">
        <v>0.68</v>
      </c>
      <c r="E26">
        <v>-0.43</v>
      </c>
      <c r="F26">
        <v>0.66700000000000004</v>
      </c>
      <c r="G26">
        <v>-1.6259999999999999</v>
      </c>
      <c r="H26">
        <v>1.0409999999999999</v>
      </c>
      <c r="I26" t="s">
        <v>12</v>
      </c>
      <c r="J26" t="s">
        <v>12</v>
      </c>
    </row>
    <row r="27" spans="1:11" hidden="1" x14ac:dyDescent="0.2">
      <c r="A27" t="s">
        <v>41</v>
      </c>
      <c r="B27" t="s">
        <v>40</v>
      </c>
      <c r="C27">
        <v>-0.91500000000000004</v>
      </c>
      <c r="D27">
        <v>0.69599999999999995</v>
      </c>
      <c r="E27">
        <v>-1.3149999999999999</v>
      </c>
      <c r="F27">
        <v>0.189</v>
      </c>
      <c r="G27">
        <v>-2.2799999999999998</v>
      </c>
      <c r="H27">
        <v>0.44900000000000001</v>
      </c>
      <c r="I27" t="s">
        <v>12</v>
      </c>
      <c r="J27" t="s">
        <v>12</v>
      </c>
    </row>
    <row r="28" spans="1:11" hidden="1" x14ac:dyDescent="0.2">
      <c r="A28" t="s">
        <v>42</v>
      </c>
      <c r="B28" t="s">
        <v>40</v>
      </c>
      <c r="C28">
        <v>0.113</v>
      </c>
      <c r="D28">
        <v>0.19900000000000001</v>
      </c>
      <c r="E28">
        <v>0.56999999999999995</v>
      </c>
      <c r="F28">
        <v>0.56899999999999995</v>
      </c>
      <c r="G28">
        <v>-0.27600000000000002</v>
      </c>
      <c r="H28">
        <v>0.503</v>
      </c>
      <c r="I28" t="s">
        <v>12</v>
      </c>
      <c r="J28" t="s">
        <v>12</v>
      </c>
    </row>
    <row r="29" spans="1:11" hidden="1" x14ac:dyDescent="0.2">
      <c r="A29" t="s">
        <v>43</v>
      </c>
      <c r="B29" t="s">
        <v>40</v>
      </c>
      <c r="C29">
        <v>0.43099999999999999</v>
      </c>
      <c r="D29">
        <v>0.20100000000000001</v>
      </c>
      <c r="E29">
        <v>2.145</v>
      </c>
      <c r="F29">
        <v>3.2000000000000001E-2</v>
      </c>
      <c r="G29">
        <v>3.6999999999999998E-2</v>
      </c>
      <c r="H29">
        <v>0.82399999999999995</v>
      </c>
      <c r="I29" t="s">
        <v>12</v>
      </c>
      <c r="J29" t="s">
        <v>12</v>
      </c>
      <c r="K29" t="s">
        <v>17</v>
      </c>
    </row>
    <row r="30" spans="1:11" hidden="1" x14ac:dyDescent="0.2">
      <c r="A30" t="s">
        <v>44</v>
      </c>
      <c r="B30" t="s">
        <v>40</v>
      </c>
      <c r="C30">
        <v>0.73</v>
      </c>
      <c r="D30">
        <v>0.25</v>
      </c>
      <c r="E30">
        <v>2.919</v>
      </c>
      <c r="F30">
        <v>4.0000000000000001E-3</v>
      </c>
      <c r="G30">
        <v>0.24</v>
      </c>
      <c r="H30">
        <v>1.22</v>
      </c>
      <c r="I30" t="s">
        <v>12</v>
      </c>
      <c r="J30" t="s">
        <v>12</v>
      </c>
      <c r="K30" t="s">
        <v>21</v>
      </c>
    </row>
    <row r="31" spans="1:11" x14ac:dyDescent="0.2">
      <c r="A31" t="s">
        <v>45</v>
      </c>
      <c r="B31" t="s">
        <v>40</v>
      </c>
      <c r="C31">
        <v>-2.9740000000000002</v>
      </c>
      <c r="D31">
        <v>0.80800000000000005</v>
      </c>
      <c r="E31">
        <v>-3.6789999999999998</v>
      </c>
      <c r="F31">
        <v>0</v>
      </c>
      <c r="G31">
        <v>-4.5579999999999998</v>
      </c>
      <c r="H31">
        <v>-1.39</v>
      </c>
      <c r="I31" t="s">
        <v>12</v>
      </c>
      <c r="J31" t="s">
        <v>12</v>
      </c>
      <c r="K31" t="s">
        <v>19</v>
      </c>
    </row>
    <row r="32" spans="1:11" hidden="1" x14ac:dyDescent="0.2">
      <c r="A32" t="s">
        <v>46</v>
      </c>
      <c r="B32" t="s">
        <v>40</v>
      </c>
      <c r="C32">
        <v>-2.8919999999999999</v>
      </c>
      <c r="D32">
        <v>1.1399999999999999</v>
      </c>
      <c r="E32">
        <v>-2.5369999999999999</v>
      </c>
      <c r="F32">
        <v>1.0999999999999999E-2</v>
      </c>
      <c r="G32">
        <v>-5.1269999999999998</v>
      </c>
      <c r="H32">
        <v>-0.65800000000000003</v>
      </c>
      <c r="I32" t="s">
        <v>12</v>
      </c>
      <c r="J32" t="s">
        <v>12</v>
      </c>
      <c r="K32" t="s">
        <v>17</v>
      </c>
    </row>
    <row r="33" spans="1:11" hidden="1" x14ac:dyDescent="0.2">
      <c r="A33" t="s">
        <v>47</v>
      </c>
      <c r="B33" t="s">
        <v>40</v>
      </c>
      <c r="C33">
        <v>0.71399999999999997</v>
      </c>
      <c r="D33">
        <v>0.25</v>
      </c>
      <c r="E33">
        <v>2.8610000000000002</v>
      </c>
      <c r="F33">
        <v>4.0000000000000001E-3</v>
      </c>
      <c r="G33">
        <v>0.22500000000000001</v>
      </c>
      <c r="H33">
        <v>1.2030000000000001</v>
      </c>
      <c r="I33" t="s">
        <v>12</v>
      </c>
      <c r="J33" t="s">
        <v>12</v>
      </c>
      <c r="K33" t="s">
        <v>21</v>
      </c>
    </row>
    <row r="34" spans="1:11" hidden="1" x14ac:dyDescent="0.2">
      <c r="A34" t="s">
        <v>48</v>
      </c>
      <c r="B34" t="s">
        <v>40</v>
      </c>
      <c r="C34">
        <v>0.7</v>
      </c>
      <c r="D34">
        <v>0.251</v>
      </c>
      <c r="E34">
        <v>2.7919999999999998</v>
      </c>
      <c r="F34">
        <v>5.0000000000000001E-3</v>
      </c>
      <c r="G34">
        <v>0.20899999999999999</v>
      </c>
      <c r="H34">
        <v>1.1919999999999999</v>
      </c>
      <c r="I34" t="s">
        <v>12</v>
      </c>
      <c r="J34" t="s">
        <v>12</v>
      </c>
      <c r="K34" t="s">
        <v>21</v>
      </c>
    </row>
    <row r="35" spans="1:11" x14ac:dyDescent="0.2">
      <c r="A35" t="s">
        <v>49</v>
      </c>
      <c r="B35" t="s">
        <v>40</v>
      </c>
      <c r="C35">
        <v>2.706</v>
      </c>
      <c r="D35">
        <v>0.70499999999999996</v>
      </c>
      <c r="E35">
        <v>3.8410000000000002</v>
      </c>
      <c r="F35">
        <v>0</v>
      </c>
      <c r="G35">
        <v>1.325</v>
      </c>
      <c r="H35">
        <v>4.0880000000000001</v>
      </c>
      <c r="I35" t="s">
        <v>12</v>
      </c>
      <c r="J35" t="s">
        <v>12</v>
      </c>
      <c r="K35" t="s">
        <v>19</v>
      </c>
    </row>
    <row r="36" spans="1:11" hidden="1" x14ac:dyDescent="0.2">
      <c r="A36" t="s">
        <v>50</v>
      </c>
      <c r="B36" t="s">
        <v>40</v>
      </c>
      <c r="C36">
        <v>-1.6850000000000001</v>
      </c>
      <c r="D36">
        <v>1.47</v>
      </c>
      <c r="E36">
        <v>-1.1459999999999999</v>
      </c>
      <c r="F36">
        <v>0.252</v>
      </c>
      <c r="G36">
        <v>-4.5650000000000004</v>
      </c>
      <c r="H36">
        <v>1.196</v>
      </c>
      <c r="I36" t="s">
        <v>12</v>
      </c>
      <c r="J36" t="s">
        <v>12</v>
      </c>
    </row>
    <row r="37" spans="1:11" hidden="1" x14ac:dyDescent="0.2">
      <c r="A37" t="s">
        <v>51</v>
      </c>
      <c r="B37" t="s">
        <v>40</v>
      </c>
      <c r="C37">
        <v>1.7909999999999999</v>
      </c>
      <c r="D37">
        <v>1.8480000000000001</v>
      </c>
      <c r="E37">
        <v>0.96899999999999997</v>
      </c>
      <c r="F37">
        <v>0.33200000000000002</v>
      </c>
      <c r="G37">
        <v>-1.831</v>
      </c>
      <c r="H37">
        <v>5.4119999999999999</v>
      </c>
      <c r="I37" t="s">
        <v>12</v>
      </c>
      <c r="J37" t="s">
        <v>12</v>
      </c>
    </row>
    <row r="38" spans="1:11" hidden="1" x14ac:dyDescent="0.2">
      <c r="A38" t="s">
        <v>52</v>
      </c>
      <c r="B38" t="s">
        <v>40</v>
      </c>
      <c r="C38">
        <v>0.36099999999999999</v>
      </c>
      <c r="D38">
        <v>0.23</v>
      </c>
      <c r="E38">
        <v>1.57</v>
      </c>
      <c r="F38">
        <v>0.11600000000000001</v>
      </c>
      <c r="G38">
        <v>-0.09</v>
      </c>
      <c r="H38">
        <v>0.81200000000000006</v>
      </c>
      <c r="I38" t="s">
        <v>12</v>
      </c>
      <c r="J38" t="s">
        <v>12</v>
      </c>
    </row>
    <row r="39" spans="1:11" x14ac:dyDescent="0.2">
      <c r="A39" t="s">
        <v>53</v>
      </c>
      <c r="B39" t="s">
        <v>40</v>
      </c>
      <c r="C39">
        <v>1.202</v>
      </c>
      <c r="D39">
        <v>0.35499999999999998</v>
      </c>
      <c r="E39">
        <v>3.3860000000000001</v>
      </c>
      <c r="F39">
        <v>1E-3</v>
      </c>
      <c r="G39">
        <v>0.50600000000000001</v>
      </c>
      <c r="H39">
        <v>1.8979999999999999</v>
      </c>
      <c r="I39" t="s">
        <v>12</v>
      </c>
      <c r="J39" t="s">
        <v>12</v>
      </c>
      <c r="K39" t="s">
        <v>21</v>
      </c>
    </row>
    <row r="40" spans="1:11" x14ac:dyDescent="0.2">
      <c r="A40" t="s">
        <v>54</v>
      </c>
      <c r="B40" t="s">
        <v>40</v>
      </c>
      <c r="C40">
        <v>2.4</v>
      </c>
      <c r="D40">
        <v>0.42599999999999999</v>
      </c>
      <c r="E40">
        <v>5.6280000000000001</v>
      </c>
      <c r="F40">
        <v>0</v>
      </c>
      <c r="G40">
        <v>1.5640000000000001</v>
      </c>
      <c r="H40">
        <v>3.2360000000000002</v>
      </c>
      <c r="I40" t="s">
        <v>12</v>
      </c>
      <c r="J40" t="s">
        <v>12</v>
      </c>
      <c r="K40" t="s">
        <v>19</v>
      </c>
    </row>
    <row r="41" spans="1:11" hidden="1" x14ac:dyDescent="0.2">
      <c r="A41" t="s">
        <v>55</v>
      </c>
      <c r="B41" t="s">
        <v>40</v>
      </c>
      <c r="C41">
        <v>1.389</v>
      </c>
      <c r="D41">
        <v>0.53700000000000003</v>
      </c>
      <c r="E41">
        <v>2.5880000000000001</v>
      </c>
      <c r="F41">
        <v>0.01</v>
      </c>
      <c r="G41">
        <v>0.33700000000000002</v>
      </c>
      <c r="H41">
        <v>2.4409999999999998</v>
      </c>
      <c r="I41" t="s">
        <v>12</v>
      </c>
      <c r="J41" t="s">
        <v>12</v>
      </c>
      <c r="K41" t="s">
        <v>17</v>
      </c>
    </row>
    <row r="42" spans="1:11" x14ac:dyDescent="0.2">
      <c r="A42" t="s">
        <v>56</v>
      </c>
      <c r="B42" t="s">
        <v>40</v>
      </c>
      <c r="C42">
        <v>-3.3839999999999999</v>
      </c>
      <c r="D42">
        <v>0.68600000000000005</v>
      </c>
      <c r="E42">
        <v>-4.9340000000000002</v>
      </c>
      <c r="F42">
        <v>0</v>
      </c>
      <c r="G42">
        <v>-4.7279999999999998</v>
      </c>
      <c r="H42">
        <v>-2.04</v>
      </c>
      <c r="I42" t="s">
        <v>12</v>
      </c>
      <c r="J42" t="s">
        <v>12</v>
      </c>
      <c r="K42" t="s">
        <v>19</v>
      </c>
    </row>
    <row r="43" spans="1:11" hidden="1" x14ac:dyDescent="0.2">
      <c r="A43" t="s">
        <v>57</v>
      </c>
      <c r="B43" t="s">
        <v>40</v>
      </c>
      <c r="C43">
        <v>-0.32900000000000001</v>
      </c>
      <c r="D43">
        <v>0.29599999999999999</v>
      </c>
      <c r="E43">
        <v>-1.111</v>
      </c>
      <c r="F43">
        <v>0.26700000000000002</v>
      </c>
      <c r="G43">
        <v>-0.90900000000000003</v>
      </c>
      <c r="H43">
        <v>0.251</v>
      </c>
      <c r="I43" t="s">
        <v>12</v>
      </c>
      <c r="J43" t="s">
        <v>12</v>
      </c>
    </row>
    <row r="44" spans="1:11" hidden="1" x14ac:dyDescent="0.2">
      <c r="A44" t="s">
        <v>58</v>
      </c>
      <c r="B44" t="s">
        <v>40</v>
      </c>
      <c r="C44">
        <v>0.98699999999999999</v>
      </c>
      <c r="D44">
        <v>0.32500000000000001</v>
      </c>
      <c r="E44">
        <v>3.04</v>
      </c>
      <c r="F44">
        <v>2E-3</v>
      </c>
      <c r="G44">
        <v>0.35099999999999998</v>
      </c>
      <c r="H44">
        <v>1.6240000000000001</v>
      </c>
      <c r="I44" t="s">
        <v>12</v>
      </c>
      <c r="J44" t="s">
        <v>12</v>
      </c>
      <c r="K44" t="s">
        <v>21</v>
      </c>
    </row>
    <row r="45" spans="1:11" hidden="1" x14ac:dyDescent="0.2">
      <c r="A45" t="s">
        <v>59</v>
      </c>
      <c r="B45" t="s">
        <v>40</v>
      </c>
      <c r="C45">
        <v>0.86799999999999999</v>
      </c>
      <c r="D45">
        <v>0.55500000000000005</v>
      </c>
      <c r="E45">
        <v>1.5660000000000001</v>
      </c>
      <c r="F45">
        <v>0.11700000000000001</v>
      </c>
      <c r="G45">
        <v>-0.219</v>
      </c>
      <c r="H45">
        <v>1.9550000000000001</v>
      </c>
      <c r="I45" t="s">
        <v>12</v>
      </c>
      <c r="J45" t="s">
        <v>12</v>
      </c>
    </row>
    <row r="46" spans="1:11" hidden="1" x14ac:dyDescent="0.2"/>
    <row r="47" spans="1:11" hidden="1" x14ac:dyDescent="0.2"/>
    <row r="48" spans="1:11" hidden="1" x14ac:dyDescent="0.2"/>
    <row r="49" hidden="1" x14ac:dyDescent="0.2"/>
    <row r="50" hidden="1" x14ac:dyDescent="0.2"/>
    <row r="51" hidden="1" x14ac:dyDescent="0.2"/>
    <row r="52" hidden="1" x14ac:dyDescent="0.2"/>
  </sheetData>
  <autoFilter ref="F1:F52" xr:uid="{00000000-0001-0000-0000-000000000000}">
    <filterColumn colId="0">
      <customFilters>
        <customFilter operator="lessThan" val="2E-3"/>
      </custom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50"/>
  <sheetViews>
    <sheetView zoomScale="125" workbookViewId="0">
      <selection activeCell="M1" sqref="M1:N1"/>
    </sheetView>
  </sheetViews>
  <sheetFormatPr baseColWidth="10" defaultRowHeight="15" x14ac:dyDescent="0.2"/>
  <cols>
    <col min="13" max="13" width="22.6640625" customWidth="1"/>
  </cols>
  <sheetData>
    <row r="1" spans="1:14" x14ac:dyDescent="0.2">
      <c r="A1" t="s">
        <v>0</v>
      </c>
      <c r="B1" t="s">
        <v>1</v>
      </c>
      <c r="C1" t="s">
        <v>60</v>
      </c>
      <c r="D1" t="s">
        <v>2</v>
      </c>
      <c r="E1" t="s">
        <v>3</v>
      </c>
      <c r="F1" t="s">
        <v>148</v>
      </c>
      <c r="G1" t="s">
        <v>4</v>
      </c>
      <c r="H1" t="s">
        <v>5</v>
      </c>
      <c r="I1" t="s">
        <v>6</v>
      </c>
      <c r="J1" t="s">
        <v>7</v>
      </c>
      <c r="K1" t="s">
        <v>8</v>
      </c>
      <c r="L1" t="s">
        <v>9</v>
      </c>
      <c r="M1" t="s">
        <v>149</v>
      </c>
      <c r="N1" s="1">
        <f>0.05/36</f>
        <v>1.3888888888888889E-3</v>
      </c>
    </row>
    <row r="2" spans="1:14" hidden="1" x14ac:dyDescent="0.2">
      <c r="B2" t="s">
        <v>61</v>
      </c>
      <c r="J2" t="s">
        <v>12</v>
      </c>
      <c r="K2" t="s">
        <v>12</v>
      </c>
    </row>
    <row r="3" spans="1:14" hidden="1" x14ac:dyDescent="0.2">
      <c r="A3" t="s">
        <v>62</v>
      </c>
      <c r="B3" t="s">
        <v>14</v>
      </c>
      <c r="C3" t="s">
        <v>63</v>
      </c>
      <c r="D3">
        <v>-4.2999999999999997E-2</v>
      </c>
      <c r="E3">
        <v>8.3000000000000004E-2</v>
      </c>
      <c r="F3" t="s">
        <v>64</v>
      </c>
      <c r="G3">
        <v>0.60099999999999998</v>
      </c>
      <c r="H3">
        <v>-0.20699999999999999</v>
      </c>
      <c r="I3">
        <v>0.12</v>
      </c>
    </row>
    <row r="4" spans="1:14" hidden="1" x14ac:dyDescent="0.2">
      <c r="A4" t="s">
        <v>62</v>
      </c>
      <c r="B4" t="s">
        <v>14</v>
      </c>
      <c r="C4" t="s">
        <v>65</v>
      </c>
      <c r="D4">
        <v>7.0000000000000001E-3</v>
      </c>
      <c r="E4">
        <v>7.0999999999999994E-2</v>
      </c>
      <c r="F4" t="s">
        <v>66</v>
      </c>
      <c r="G4">
        <v>0.92</v>
      </c>
      <c r="H4">
        <v>-0.13200000000000001</v>
      </c>
      <c r="I4">
        <v>0.14599999999999999</v>
      </c>
    </row>
    <row r="5" spans="1:14" hidden="1" x14ac:dyDescent="0.2">
      <c r="A5" t="s">
        <v>67</v>
      </c>
      <c r="B5" t="s">
        <v>68</v>
      </c>
      <c r="C5" t="s">
        <v>63</v>
      </c>
      <c r="D5">
        <v>-0.1</v>
      </c>
      <c r="E5">
        <v>8.1000000000000003E-2</v>
      </c>
      <c r="F5" t="s">
        <v>69</v>
      </c>
      <c r="G5">
        <v>0.218</v>
      </c>
      <c r="H5">
        <v>-0.25800000000000001</v>
      </c>
      <c r="I5">
        <v>5.8999999999999997E-2</v>
      </c>
    </row>
    <row r="6" spans="1:14" hidden="1" x14ac:dyDescent="0.2">
      <c r="A6" t="s">
        <v>67</v>
      </c>
      <c r="B6" t="s">
        <v>68</v>
      </c>
      <c r="C6" t="s">
        <v>65</v>
      </c>
      <c r="D6">
        <v>-2.5999999999999999E-2</v>
      </c>
      <c r="E6">
        <v>8.8999999999999996E-2</v>
      </c>
      <c r="F6" t="s">
        <v>70</v>
      </c>
      <c r="G6">
        <v>0.77300000000000002</v>
      </c>
      <c r="H6">
        <v>-0.20100000000000001</v>
      </c>
      <c r="I6">
        <v>0.14899999999999999</v>
      </c>
    </row>
    <row r="7" spans="1:14" hidden="1" x14ac:dyDescent="0.2">
      <c r="A7" t="s">
        <v>71</v>
      </c>
      <c r="B7" t="s">
        <v>72</v>
      </c>
      <c r="C7" t="s">
        <v>63</v>
      </c>
      <c r="D7">
        <v>-0.19600000000000001</v>
      </c>
      <c r="E7">
        <v>9.1999999999999998E-2</v>
      </c>
      <c r="F7" t="s">
        <v>73</v>
      </c>
      <c r="G7">
        <v>3.3000000000000002E-2</v>
      </c>
      <c r="H7">
        <v>-0.375</v>
      </c>
      <c r="I7">
        <v>-1.6E-2</v>
      </c>
      <c r="L7" t="s">
        <v>17</v>
      </c>
    </row>
    <row r="8" spans="1:14" hidden="1" x14ac:dyDescent="0.2">
      <c r="A8" t="s">
        <v>71</v>
      </c>
      <c r="B8" t="s">
        <v>72</v>
      </c>
      <c r="C8" t="s">
        <v>65</v>
      </c>
      <c r="D8">
        <v>-0.217</v>
      </c>
      <c r="E8">
        <v>0.106</v>
      </c>
      <c r="F8" t="s">
        <v>74</v>
      </c>
      <c r="G8">
        <v>4.1000000000000002E-2</v>
      </c>
      <c r="H8">
        <v>-0.42499999999999999</v>
      </c>
      <c r="I8">
        <v>-8.9999999999999993E-3</v>
      </c>
      <c r="L8" t="s">
        <v>17</v>
      </c>
    </row>
    <row r="9" spans="1:14" hidden="1" x14ac:dyDescent="0.2">
      <c r="B9" t="s">
        <v>75</v>
      </c>
      <c r="J9" t="s">
        <v>12</v>
      </c>
      <c r="K9" t="s">
        <v>12</v>
      </c>
    </row>
    <row r="10" spans="1:14" hidden="1" x14ac:dyDescent="0.2">
      <c r="A10" t="s">
        <v>62</v>
      </c>
      <c r="B10" t="s">
        <v>23</v>
      </c>
      <c r="C10" t="s">
        <v>63</v>
      </c>
      <c r="D10">
        <v>-0.10100000000000001</v>
      </c>
      <c r="E10">
        <v>9.2999999999999999E-2</v>
      </c>
      <c r="F10" t="s">
        <v>76</v>
      </c>
      <c r="G10">
        <v>0.28199999999999997</v>
      </c>
      <c r="H10">
        <v>-0.28399999999999997</v>
      </c>
      <c r="I10">
        <v>8.3000000000000004E-2</v>
      </c>
    </row>
    <row r="11" spans="1:14" hidden="1" x14ac:dyDescent="0.2">
      <c r="A11" t="s">
        <v>62</v>
      </c>
      <c r="B11" t="s">
        <v>23</v>
      </c>
      <c r="C11" t="s">
        <v>65</v>
      </c>
      <c r="D11">
        <v>-5.6000000000000001E-2</v>
      </c>
      <c r="E11">
        <v>6.9000000000000006E-2</v>
      </c>
      <c r="F11" t="s">
        <v>77</v>
      </c>
      <c r="G11">
        <v>0.41699999999999998</v>
      </c>
      <c r="H11">
        <v>-0.19</v>
      </c>
      <c r="I11">
        <v>7.9000000000000001E-2</v>
      </c>
    </row>
    <row r="12" spans="1:14" hidden="1" x14ac:dyDescent="0.2">
      <c r="A12" t="s">
        <v>67</v>
      </c>
      <c r="B12" t="s">
        <v>78</v>
      </c>
      <c r="C12" t="s">
        <v>63</v>
      </c>
      <c r="D12">
        <v>-0.20200000000000001</v>
      </c>
      <c r="E12">
        <v>8.5000000000000006E-2</v>
      </c>
      <c r="F12" t="s">
        <v>79</v>
      </c>
      <c r="G12">
        <v>1.7999999999999999E-2</v>
      </c>
      <c r="H12">
        <v>-0.36899999999999999</v>
      </c>
      <c r="I12">
        <v>-3.5000000000000003E-2</v>
      </c>
      <c r="L12" t="s">
        <v>17</v>
      </c>
    </row>
    <row r="13" spans="1:14" x14ac:dyDescent="0.2">
      <c r="A13" t="s">
        <v>67</v>
      </c>
      <c r="B13" t="s">
        <v>78</v>
      </c>
      <c r="C13" t="s">
        <v>65</v>
      </c>
      <c r="D13">
        <v>-0.26</v>
      </c>
      <c r="E13">
        <v>6.2E-2</v>
      </c>
      <c r="F13" t="s">
        <v>80</v>
      </c>
      <c r="G13">
        <v>0</v>
      </c>
      <c r="H13">
        <v>-0.38</v>
      </c>
      <c r="I13">
        <v>-0.13900000000000001</v>
      </c>
      <c r="L13" t="s">
        <v>19</v>
      </c>
    </row>
    <row r="14" spans="1:14" hidden="1" x14ac:dyDescent="0.2">
      <c r="A14" t="s">
        <v>71</v>
      </c>
      <c r="B14" t="s">
        <v>81</v>
      </c>
      <c r="C14" t="s">
        <v>63</v>
      </c>
      <c r="D14">
        <v>-0.28799999999999998</v>
      </c>
      <c r="E14">
        <v>9.1999999999999998E-2</v>
      </c>
      <c r="F14" t="s">
        <v>82</v>
      </c>
      <c r="G14">
        <v>2E-3</v>
      </c>
      <c r="H14">
        <v>-0.46800000000000003</v>
      </c>
      <c r="I14">
        <v>-0.108</v>
      </c>
      <c r="L14" t="s">
        <v>21</v>
      </c>
    </row>
    <row r="15" spans="1:14" hidden="1" x14ac:dyDescent="0.2">
      <c r="A15" t="s">
        <v>71</v>
      </c>
      <c r="B15" t="s">
        <v>81</v>
      </c>
      <c r="C15" t="s">
        <v>65</v>
      </c>
      <c r="D15">
        <v>0.06</v>
      </c>
      <c r="E15">
        <v>8.5000000000000006E-2</v>
      </c>
      <c r="F15" t="s">
        <v>83</v>
      </c>
      <c r="G15">
        <v>0.47799999999999998</v>
      </c>
      <c r="H15">
        <v>-0.106</v>
      </c>
      <c r="I15">
        <v>0.22700000000000001</v>
      </c>
    </row>
    <row r="16" spans="1:14" hidden="1" x14ac:dyDescent="0.2">
      <c r="B16" t="s">
        <v>84</v>
      </c>
      <c r="J16" t="s">
        <v>12</v>
      </c>
      <c r="K16" t="s">
        <v>12</v>
      </c>
    </row>
    <row r="17" spans="1:12" hidden="1" x14ac:dyDescent="0.2">
      <c r="A17" t="s">
        <v>62</v>
      </c>
      <c r="B17" t="s">
        <v>85</v>
      </c>
      <c r="C17" t="s">
        <v>63</v>
      </c>
      <c r="D17">
        <v>-0.30299999999999999</v>
      </c>
      <c r="E17">
        <v>5.3999999999999999E-2</v>
      </c>
      <c r="F17" t="s">
        <v>86</v>
      </c>
      <c r="G17">
        <v>0</v>
      </c>
      <c r="H17">
        <v>-0.41</v>
      </c>
      <c r="I17">
        <v>-0.19700000000000001</v>
      </c>
      <c r="L17" t="s">
        <v>19</v>
      </c>
    </row>
    <row r="18" spans="1:12" hidden="1" x14ac:dyDescent="0.2">
      <c r="A18" t="s">
        <v>62</v>
      </c>
      <c r="B18" t="s">
        <v>85</v>
      </c>
      <c r="C18" t="s">
        <v>65</v>
      </c>
      <c r="D18">
        <v>-1.7000000000000001E-2</v>
      </c>
      <c r="E18">
        <v>1E-3</v>
      </c>
      <c r="F18" t="s">
        <v>87</v>
      </c>
      <c r="G18">
        <v>0</v>
      </c>
      <c r="H18">
        <v>-1.7999999999999999E-2</v>
      </c>
      <c r="I18">
        <v>-1.6E-2</v>
      </c>
      <c r="L18" t="s">
        <v>19</v>
      </c>
    </row>
    <row r="19" spans="1:12" hidden="1" x14ac:dyDescent="0.2">
      <c r="A19" t="s">
        <v>67</v>
      </c>
      <c r="B19" t="s">
        <v>88</v>
      </c>
      <c r="C19" t="s">
        <v>63</v>
      </c>
      <c r="D19">
        <v>-0.63700000000000001</v>
      </c>
      <c r="E19">
        <v>3.5000000000000003E-2</v>
      </c>
      <c r="F19" t="s">
        <v>89</v>
      </c>
      <c r="G19">
        <v>0</v>
      </c>
      <c r="H19">
        <v>-0.70599999999999996</v>
      </c>
      <c r="I19">
        <v>-0.56799999999999995</v>
      </c>
      <c r="L19" t="s">
        <v>19</v>
      </c>
    </row>
    <row r="20" spans="1:12" hidden="1" x14ac:dyDescent="0.2">
      <c r="A20" t="s">
        <v>67</v>
      </c>
      <c r="B20" t="s">
        <v>88</v>
      </c>
      <c r="C20" t="s">
        <v>65</v>
      </c>
      <c r="D20">
        <v>-2.1000000000000001E-2</v>
      </c>
      <c r="E20">
        <v>1E-3</v>
      </c>
      <c r="F20" t="s">
        <v>90</v>
      </c>
      <c r="G20">
        <v>0</v>
      </c>
      <c r="H20">
        <v>-2.3E-2</v>
      </c>
      <c r="I20">
        <v>-1.9E-2</v>
      </c>
      <c r="L20" t="s">
        <v>19</v>
      </c>
    </row>
    <row r="21" spans="1:12" hidden="1" x14ac:dyDescent="0.2">
      <c r="A21" t="s">
        <v>71</v>
      </c>
      <c r="B21" t="s">
        <v>91</v>
      </c>
      <c r="C21" t="s">
        <v>63</v>
      </c>
      <c r="D21">
        <v>-0.68899999999999995</v>
      </c>
      <c r="E21">
        <v>3.4000000000000002E-2</v>
      </c>
      <c r="F21" t="s">
        <v>92</v>
      </c>
      <c r="G21">
        <v>0</v>
      </c>
      <c r="H21">
        <v>-0.755</v>
      </c>
      <c r="I21">
        <v>-0.623</v>
      </c>
      <c r="L21" t="s">
        <v>19</v>
      </c>
    </row>
    <row r="22" spans="1:12" hidden="1" x14ac:dyDescent="0.2">
      <c r="A22" t="s">
        <v>71</v>
      </c>
      <c r="B22" t="s">
        <v>91</v>
      </c>
      <c r="C22" t="s">
        <v>65</v>
      </c>
      <c r="D22">
        <v>0.13900000000000001</v>
      </c>
      <c r="E22">
        <v>7.0000000000000001E-3</v>
      </c>
      <c r="F22" t="s">
        <v>93</v>
      </c>
      <c r="G22">
        <v>0</v>
      </c>
      <c r="H22">
        <v>0.126</v>
      </c>
      <c r="I22">
        <v>0.152</v>
      </c>
      <c r="L22" t="s">
        <v>19</v>
      </c>
    </row>
    <row r="23" spans="1:12" hidden="1" x14ac:dyDescent="0.2">
      <c r="B23" t="s">
        <v>94</v>
      </c>
      <c r="J23" t="s">
        <v>95</v>
      </c>
      <c r="K23" t="s">
        <v>96</v>
      </c>
    </row>
    <row r="24" spans="1:12" hidden="1" x14ac:dyDescent="0.2">
      <c r="A24" t="s">
        <v>62</v>
      </c>
      <c r="B24" t="s">
        <v>97</v>
      </c>
      <c r="C24" t="s">
        <v>63</v>
      </c>
      <c r="D24">
        <v>-4.1000000000000002E-2</v>
      </c>
      <c r="E24">
        <v>3.9E-2</v>
      </c>
      <c r="F24" t="s">
        <v>98</v>
      </c>
      <c r="G24">
        <v>0.28599999999999998</v>
      </c>
      <c r="H24">
        <v>-0.11799999999999999</v>
      </c>
      <c r="I24">
        <v>3.5000000000000003E-2</v>
      </c>
    </row>
    <row r="25" spans="1:12" hidden="1" x14ac:dyDescent="0.2">
      <c r="A25" t="s">
        <v>62</v>
      </c>
      <c r="B25" t="s">
        <v>97</v>
      </c>
      <c r="C25" t="s">
        <v>65</v>
      </c>
      <c r="D25">
        <v>-5.0000000000000001E-3</v>
      </c>
      <c r="E25">
        <v>0</v>
      </c>
      <c r="F25" t="s">
        <v>99</v>
      </c>
      <c r="G25">
        <v>0</v>
      </c>
      <c r="H25">
        <v>-6.0000000000000001E-3</v>
      </c>
      <c r="I25">
        <v>-5.0000000000000001E-3</v>
      </c>
      <c r="L25" t="s">
        <v>19</v>
      </c>
    </row>
    <row r="26" spans="1:12" hidden="1" x14ac:dyDescent="0.2">
      <c r="A26" t="s">
        <v>67</v>
      </c>
      <c r="B26" t="s">
        <v>100</v>
      </c>
      <c r="C26" t="s">
        <v>63</v>
      </c>
      <c r="D26">
        <v>-0.379</v>
      </c>
      <c r="E26">
        <v>4.9000000000000002E-2</v>
      </c>
      <c r="F26" t="s">
        <v>101</v>
      </c>
      <c r="G26">
        <v>0</v>
      </c>
      <c r="H26">
        <v>-0.47399999999999998</v>
      </c>
      <c r="I26">
        <v>-0.28299999999999997</v>
      </c>
      <c r="L26" t="s">
        <v>19</v>
      </c>
    </row>
    <row r="27" spans="1:12" hidden="1" x14ac:dyDescent="0.2">
      <c r="A27" t="s">
        <v>67</v>
      </c>
      <c r="B27" t="s">
        <v>100</v>
      </c>
      <c r="C27" t="s">
        <v>65</v>
      </c>
      <c r="D27">
        <v>-0.252</v>
      </c>
      <c r="E27">
        <v>8.9999999999999993E-3</v>
      </c>
      <c r="F27" t="s">
        <v>102</v>
      </c>
      <c r="G27">
        <v>0</v>
      </c>
      <c r="H27">
        <v>-0.26900000000000002</v>
      </c>
      <c r="I27">
        <v>-0.23499999999999999</v>
      </c>
      <c r="L27" t="s">
        <v>19</v>
      </c>
    </row>
    <row r="28" spans="1:12" hidden="1" x14ac:dyDescent="0.2">
      <c r="A28" t="s">
        <v>71</v>
      </c>
      <c r="B28" t="s">
        <v>103</v>
      </c>
      <c r="C28" t="s">
        <v>63</v>
      </c>
      <c r="D28">
        <v>-0.50700000000000001</v>
      </c>
      <c r="E28">
        <v>4.3999999999999997E-2</v>
      </c>
      <c r="F28" t="s">
        <v>104</v>
      </c>
      <c r="G28">
        <v>0</v>
      </c>
      <c r="H28">
        <v>-0.59399999999999997</v>
      </c>
      <c r="I28">
        <v>-0.42</v>
      </c>
      <c r="L28" t="s">
        <v>19</v>
      </c>
    </row>
    <row r="29" spans="1:12" hidden="1" x14ac:dyDescent="0.2">
      <c r="A29" t="s">
        <v>71</v>
      </c>
      <c r="B29" t="s">
        <v>103</v>
      </c>
      <c r="C29" t="s">
        <v>65</v>
      </c>
      <c r="D29">
        <v>-0.29899999999999999</v>
      </c>
      <c r="E29">
        <v>0.01</v>
      </c>
      <c r="F29" t="s">
        <v>105</v>
      </c>
      <c r="G29">
        <v>0</v>
      </c>
      <c r="H29">
        <v>-0.31900000000000001</v>
      </c>
      <c r="I29">
        <v>-0.27900000000000003</v>
      </c>
      <c r="L29" t="s">
        <v>19</v>
      </c>
    </row>
    <row r="30" spans="1:12" hidden="1" x14ac:dyDescent="0.2">
      <c r="B30" t="s">
        <v>106</v>
      </c>
      <c r="J30" t="s">
        <v>12</v>
      </c>
      <c r="K30" t="s">
        <v>12</v>
      </c>
    </row>
    <row r="31" spans="1:12" x14ac:dyDescent="0.2">
      <c r="A31" t="s">
        <v>62</v>
      </c>
      <c r="B31" t="s">
        <v>32</v>
      </c>
      <c r="C31" t="s">
        <v>63</v>
      </c>
      <c r="D31">
        <v>-0.45800000000000002</v>
      </c>
      <c r="E31">
        <v>6.6000000000000003E-2</v>
      </c>
      <c r="F31" t="s">
        <v>107</v>
      </c>
      <c r="G31">
        <v>0</v>
      </c>
      <c r="H31">
        <v>-0.58699999999999997</v>
      </c>
      <c r="I31">
        <v>-0.32800000000000001</v>
      </c>
      <c r="L31" t="s">
        <v>19</v>
      </c>
    </row>
    <row r="32" spans="1:12" x14ac:dyDescent="0.2">
      <c r="A32" t="s">
        <v>62</v>
      </c>
      <c r="B32" t="s">
        <v>32</v>
      </c>
      <c r="C32" t="s">
        <v>65</v>
      </c>
      <c r="D32">
        <v>-0.379</v>
      </c>
      <c r="E32">
        <v>6.7000000000000004E-2</v>
      </c>
      <c r="F32" t="s">
        <v>108</v>
      </c>
      <c r="G32">
        <v>0</v>
      </c>
      <c r="H32">
        <v>-0.51</v>
      </c>
      <c r="I32">
        <v>-0.249</v>
      </c>
      <c r="L32" t="s">
        <v>19</v>
      </c>
    </row>
    <row r="33" spans="1:12" x14ac:dyDescent="0.2">
      <c r="A33" t="s">
        <v>67</v>
      </c>
      <c r="B33" t="s">
        <v>109</v>
      </c>
      <c r="C33" t="s">
        <v>63</v>
      </c>
      <c r="D33">
        <v>-0.58499999999999996</v>
      </c>
      <c r="E33">
        <v>4.7E-2</v>
      </c>
      <c r="F33" t="s">
        <v>110</v>
      </c>
      <c r="G33">
        <v>0</v>
      </c>
      <c r="H33">
        <v>-0.67700000000000005</v>
      </c>
      <c r="I33">
        <v>-0.49299999999999999</v>
      </c>
      <c r="L33" t="s">
        <v>19</v>
      </c>
    </row>
    <row r="34" spans="1:12" x14ac:dyDescent="0.2">
      <c r="A34" t="s">
        <v>67</v>
      </c>
      <c r="B34" t="s">
        <v>109</v>
      </c>
      <c r="C34" t="s">
        <v>65</v>
      </c>
      <c r="D34">
        <v>-0.45500000000000002</v>
      </c>
      <c r="E34">
        <v>7.9000000000000001E-2</v>
      </c>
      <c r="F34" t="s">
        <v>111</v>
      </c>
      <c r="G34">
        <v>0</v>
      </c>
      <c r="H34">
        <v>-0.61</v>
      </c>
      <c r="I34">
        <v>-0.3</v>
      </c>
      <c r="L34" t="s">
        <v>19</v>
      </c>
    </row>
    <row r="35" spans="1:12" x14ac:dyDescent="0.2">
      <c r="A35" t="s">
        <v>71</v>
      </c>
      <c r="B35" t="s">
        <v>112</v>
      </c>
      <c r="C35" t="s">
        <v>63</v>
      </c>
      <c r="D35">
        <v>-0.53100000000000003</v>
      </c>
      <c r="E35">
        <v>6.4000000000000001E-2</v>
      </c>
      <c r="F35" t="s">
        <v>113</v>
      </c>
      <c r="G35">
        <v>0</v>
      </c>
      <c r="H35">
        <v>-0.65600000000000003</v>
      </c>
      <c r="I35">
        <v>-0.40500000000000003</v>
      </c>
      <c r="L35" t="s">
        <v>19</v>
      </c>
    </row>
    <row r="36" spans="1:12" x14ac:dyDescent="0.2">
      <c r="A36" t="s">
        <v>71</v>
      </c>
      <c r="B36" t="s">
        <v>112</v>
      </c>
      <c r="C36" t="s">
        <v>65</v>
      </c>
      <c r="D36">
        <v>-0.59899999999999998</v>
      </c>
      <c r="E36">
        <v>5.5E-2</v>
      </c>
      <c r="F36" t="s">
        <v>114</v>
      </c>
      <c r="G36">
        <v>0</v>
      </c>
      <c r="H36">
        <v>-0.70599999999999996</v>
      </c>
      <c r="I36">
        <v>-0.49099999999999999</v>
      </c>
      <c r="L36" t="s">
        <v>19</v>
      </c>
    </row>
    <row r="37" spans="1:12" hidden="1" x14ac:dyDescent="0.2">
      <c r="B37" t="s">
        <v>115</v>
      </c>
      <c r="J37" t="s">
        <v>12</v>
      </c>
      <c r="K37" t="s">
        <v>12</v>
      </c>
    </row>
    <row r="38" spans="1:12" hidden="1" x14ac:dyDescent="0.2">
      <c r="A38" t="s">
        <v>62</v>
      </c>
      <c r="B38" t="s">
        <v>33</v>
      </c>
      <c r="C38" t="s">
        <v>63</v>
      </c>
      <c r="D38">
        <v>-0.20100000000000001</v>
      </c>
      <c r="E38">
        <v>0.10199999999999999</v>
      </c>
      <c r="F38" t="s">
        <v>116</v>
      </c>
      <c r="G38">
        <v>0.05</v>
      </c>
      <c r="H38">
        <v>-0.40200000000000002</v>
      </c>
      <c r="I38">
        <v>0</v>
      </c>
    </row>
    <row r="39" spans="1:12" hidden="1" x14ac:dyDescent="0.2">
      <c r="A39" t="s">
        <v>62</v>
      </c>
      <c r="B39" t="s">
        <v>33</v>
      </c>
      <c r="C39" t="s">
        <v>65</v>
      </c>
      <c r="D39">
        <v>-0.152</v>
      </c>
      <c r="E39">
        <v>7.8E-2</v>
      </c>
      <c r="F39" t="s">
        <v>117</v>
      </c>
      <c r="G39">
        <v>5.0999999999999997E-2</v>
      </c>
      <c r="H39">
        <v>-0.30499999999999999</v>
      </c>
      <c r="I39">
        <v>1E-3</v>
      </c>
    </row>
    <row r="40" spans="1:12" x14ac:dyDescent="0.2">
      <c r="A40" t="s">
        <v>67</v>
      </c>
      <c r="B40" t="s">
        <v>118</v>
      </c>
      <c r="C40" t="s">
        <v>63</v>
      </c>
      <c r="D40">
        <v>-0.35799999999999998</v>
      </c>
      <c r="E40">
        <v>6.8000000000000005E-2</v>
      </c>
      <c r="F40" t="s">
        <v>119</v>
      </c>
      <c r="G40">
        <v>0</v>
      </c>
      <c r="H40">
        <v>-0.49099999999999999</v>
      </c>
      <c r="I40">
        <v>-0.22600000000000001</v>
      </c>
      <c r="L40" t="s">
        <v>19</v>
      </c>
    </row>
    <row r="41" spans="1:12" x14ac:dyDescent="0.2">
      <c r="A41" t="s">
        <v>67</v>
      </c>
      <c r="B41" t="s">
        <v>118</v>
      </c>
      <c r="C41" t="s">
        <v>65</v>
      </c>
      <c r="D41">
        <v>-0.32500000000000001</v>
      </c>
      <c r="E41">
        <v>8.5999999999999993E-2</v>
      </c>
      <c r="F41" t="s">
        <v>120</v>
      </c>
      <c r="G41">
        <v>0</v>
      </c>
      <c r="H41">
        <v>-0.49299999999999999</v>
      </c>
      <c r="I41">
        <v>-0.157</v>
      </c>
      <c r="L41" t="s">
        <v>19</v>
      </c>
    </row>
    <row r="42" spans="1:12" hidden="1" x14ac:dyDescent="0.2">
      <c r="A42" t="s">
        <v>71</v>
      </c>
      <c r="B42" t="s">
        <v>121</v>
      </c>
      <c r="C42" t="s">
        <v>63</v>
      </c>
      <c r="D42">
        <v>-0.27400000000000002</v>
      </c>
      <c r="E42">
        <v>0.11799999999999999</v>
      </c>
      <c r="F42" t="s">
        <v>122</v>
      </c>
      <c r="G42">
        <v>2.1000000000000001E-2</v>
      </c>
      <c r="H42">
        <v>-0.50600000000000001</v>
      </c>
      <c r="I42">
        <v>-4.2000000000000003E-2</v>
      </c>
      <c r="L42" t="s">
        <v>17</v>
      </c>
    </row>
    <row r="43" spans="1:12" x14ac:dyDescent="0.2">
      <c r="A43" t="s">
        <v>71</v>
      </c>
      <c r="B43" t="s">
        <v>121</v>
      </c>
      <c r="C43" t="s">
        <v>65</v>
      </c>
      <c r="D43">
        <v>-0.40300000000000002</v>
      </c>
      <c r="E43">
        <v>9.1999999999999998E-2</v>
      </c>
      <c r="F43" t="s">
        <v>123</v>
      </c>
      <c r="G43">
        <v>0</v>
      </c>
      <c r="H43">
        <v>-0.58299999999999996</v>
      </c>
      <c r="I43">
        <v>-0.224</v>
      </c>
      <c r="L43" t="s">
        <v>19</v>
      </c>
    </row>
    <row r="44" spans="1:12" hidden="1" x14ac:dyDescent="0.2">
      <c r="B44" t="s">
        <v>124</v>
      </c>
      <c r="J44" t="s">
        <v>12</v>
      </c>
      <c r="K44" t="s">
        <v>12</v>
      </c>
    </row>
    <row r="45" spans="1:12" hidden="1" x14ac:dyDescent="0.2">
      <c r="A45" t="s">
        <v>62</v>
      </c>
      <c r="B45" t="s">
        <v>38</v>
      </c>
      <c r="C45" t="s">
        <v>63</v>
      </c>
      <c r="D45">
        <v>5.6000000000000001E-2</v>
      </c>
      <c r="E45">
        <v>0.316</v>
      </c>
      <c r="F45" t="s">
        <v>125</v>
      </c>
      <c r="G45">
        <v>0.85899999999999999</v>
      </c>
      <c r="H45">
        <v>-0.56399999999999995</v>
      </c>
      <c r="I45">
        <v>0.67600000000000005</v>
      </c>
    </row>
    <row r="46" spans="1:12" hidden="1" x14ac:dyDescent="0.2">
      <c r="A46" t="s">
        <v>62</v>
      </c>
      <c r="B46" t="s">
        <v>38</v>
      </c>
      <c r="C46" t="s">
        <v>65</v>
      </c>
      <c r="D46">
        <v>6.6000000000000003E-2</v>
      </c>
      <c r="E46">
        <v>7.9000000000000001E-2</v>
      </c>
      <c r="F46" t="s">
        <v>126</v>
      </c>
      <c r="G46">
        <v>0.40400000000000003</v>
      </c>
      <c r="H46">
        <v>-8.8999999999999996E-2</v>
      </c>
      <c r="I46">
        <v>0.221</v>
      </c>
    </row>
    <row r="47" spans="1:12" hidden="1" x14ac:dyDescent="0.2">
      <c r="A47" t="s">
        <v>67</v>
      </c>
      <c r="B47" t="s">
        <v>127</v>
      </c>
      <c r="C47" t="s">
        <v>63</v>
      </c>
      <c r="D47">
        <v>-6.4000000000000001E-2</v>
      </c>
      <c r="E47">
        <v>0.17699999999999999</v>
      </c>
      <c r="F47" t="s">
        <v>128</v>
      </c>
      <c r="G47">
        <v>0.71899999999999997</v>
      </c>
      <c r="H47">
        <v>-0.41</v>
      </c>
      <c r="I47">
        <v>0.28299999999999997</v>
      </c>
    </row>
    <row r="48" spans="1:12" hidden="1" x14ac:dyDescent="0.2">
      <c r="A48" t="s">
        <v>67</v>
      </c>
      <c r="B48" t="s">
        <v>127</v>
      </c>
      <c r="C48" t="s">
        <v>65</v>
      </c>
      <c r="D48">
        <v>-0.37</v>
      </c>
      <c r="E48">
        <v>0.14199999999999999</v>
      </c>
      <c r="F48" t="s">
        <v>129</v>
      </c>
      <c r="G48">
        <v>8.9999999999999993E-3</v>
      </c>
      <c r="H48">
        <v>-0.64900000000000002</v>
      </c>
      <c r="I48">
        <v>-0.09</v>
      </c>
      <c r="L48" t="s">
        <v>21</v>
      </c>
    </row>
    <row r="49" spans="1:12" hidden="1" x14ac:dyDescent="0.2">
      <c r="A49" t="s">
        <v>71</v>
      </c>
      <c r="B49" t="s">
        <v>130</v>
      </c>
      <c r="C49" t="s">
        <v>63</v>
      </c>
      <c r="D49">
        <v>-0.09</v>
      </c>
      <c r="E49">
        <v>9.1999999999999998E-2</v>
      </c>
      <c r="F49" t="s">
        <v>131</v>
      </c>
      <c r="G49">
        <v>0.32400000000000001</v>
      </c>
      <c r="H49">
        <v>-0.27</v>
      </c>
      <c r="I49">
        <v>8.8999999999999996E-2</v>
      </c>
    </row>
    <row r="50" spans="1:12" hidden="1" x14ac:dyDescent="0.2">
      <c r="A50" t="s">
        <v>71</v>
      </c>
      <c r="B50" t="s">
        <v>130</v>
      </c>
      <c r="C50" t="s">
        <v>65</v>
      </c>
      <c r="D50">
        <v>-0.38200000000000001</v>
      </c>
      <c r="E50">
        <v>0.16</v>
      </c>
      <c r="F50" t="s">
        <v>132</v>
      </c>
      <c r="G50">
        <v>1.7000000000000001E-2</v>
      </c>
      <c r="H50">
        <v>-0.69599999999999995</v>
      </c>
      <c r="I50">
        <v>-6.7000000000000004E-2</v>
      </c>
      <c r="L50" t="s">
        <v>17</v>
      </c>
    </row>
  </sheetData>
  <autoFilter ref="G1:G50" xr:uid="{00000000-0001-0000-0100-000000000000}">
    <filterColumn colId="0">
      <customFilters>
        <customFilter operator="lessThan" val="1E-3"/>
      </customFilters>
    </filterColumn>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41"/>
  <sheetViews>
    <sheetView tabSelected="1" workbookViewId="0">
      <selection activeCell="J36" sqref="J36"/>
    </sheetView>
  </sheetViews>
  <sheetFormatPr baseColWidth="10" defaultRowHeight="15" x14ac:dyDescent="0.2"/>
  <sheetData>
    <row r="1" spans="1:17" x14ac:dyDescent="0.2">
      <c r="A1" t="s">
        <v>1</v>
      </c>
      <c r="B1" t="s">
        <v>0</v>
      </c>
      <c r="C1" t="s">
        <v>60</v>
      </c>
      <c r="D1" t="s">
        <v>2</v>
      </c>
      <c r="E1" t="s">
        <v>3</v>
      </c>
      <c r="F1" t="s">
        <v>148</v>
      </c>
      <c r="G1" t="s">
        <v>4</v>
      </c>
      <c r="H1" t="s">
        <v>5</v>
      </c>
      <c r="I1" t="s">
        <v>6</v>
      </c>
      <c r="J1" t="s">
        <v>133</v>
      </c>
      <c r="K1" t="s">
        <v>134</v>
      </c>
      <c r="L1" t="s">
        <v>135</v>
      </c>
      <c r="M1" t="s">
        <v>7</v>
      </c>
      <c r="N1" t="s">
        <v>8</v>
      </c>
      <c r="O1" t="s">
        <v>9</v>
      </c>
      <c r="P1" t="s">
        <v>149</v>
      </c>
      <c r="Q1" s="1">
        <f>0.05/10</f>
        <v>5.0000000000000001E-3</v>
      </c>
    </row>
    <row r="2" spans="1:17" x14ac:dyDescent="0.2">
      <c r="A2" t="s">
        <v>136</v>
      </c>
      <c r="B2" t="s">
        <v>137</v>
      </c>
      <c r="C2" t="s">
        <v>63</v>
      </c>
      <c r="D2">
        <v>0.19600000000000001</v>
      </c>
      <c r="E2">
        <v>4.1000000000000002E-2</v>
      </c>
      <c r="F2">
        <v>4.7850000000000001</v>
      </c>
      <c r="G2">
        <v>0</v>
      </c>
      <c r="J2">
        <v>45.945</v>
      </c>
      <c r="K2">
        <v>1</v>
      </c>
      <c r="L2">
        <v>0</v>
      </c>
      <c r="M2" t="s">
        <v>12</v>
      </c>
      <c r="N2" t="s">
        <v>12</v>
      </c>
      <c r="O2" t="s">
        <v>19</v>
      </c>
    </row>
    <row r="3" spans="1:17" x14ac:dyDescent="0.2">
      <c r="A3" t="s">
        <v>136</v>
      </c>
      <c r="B3" t="s">
        <v>138</v>
      </c>
      <c r="C3" t="s">
        <v>63</v>
      </c>
      <c r="D3">
        <v>0.80400000000000005</v>
      </c>
      <c r="E3">
        <v>4.1000000000000002E-2</v>
      </c>
      <c r="F3">
        <v>19.625</v>
      </c>
      <c r="G3">
        <v>0</v>
      </c>
      <c r="J3">
        <v>45.945</v>
      </c>
      <c r="K3">
        <v>1</v>
      </c>
      <c r="L3">
        <v>0</v>
      </c>
      <c r="M3" t="s">
        <v>12</v>
      </c>
      <c r="N3" t="s">
        <v>12</v>
      </c>
      <c r="O3" t="s">
        <v>19</v>
      </c>
    </row>
    <row r="4" spans="1:17" x14ac:dyDescent="0.2">
      <c r="A4" t="s">
        <v>136</v>
      </c>
      <c r="B4" t="s">
        <v>137</v>
      </c>
      <c r="C4" t="s">
        <v>65</v>
      </c>
      <c r="D4">
        <v>0.83</v>
      </c>
      <c r="E4">
        <v>4.3999999999999997E-2</v>
      </c>
      <c r="F4">
        <v>18.821999999999999</v>
      </c>
      <c r="G4">
        <v>0</v>
      </c>
      <c r="J4">
        <v>45.945</v>
      </c>
      <c r="K4">
        <v>1</v>
      </c>
      <c r="L4">
        <v>0</v>
      </c>
      <c r="M4" t="s">
        <v>12</v>
      </c>
      <c r="N4" t="s">
        <v>12</v>
      </c>
      <c r="O4" t="s">
        <v>19</v>
      </c>
    </row>
    <row r="5" spans="1:17" x14ac:dyDescent="0.2">
      <c r="A5" t="s">
        <v>136</v>
      </c>
      <c r="B5" t="s">
        <v>138</v>
      </c>
      <c r="C5" t="s">
        <v>65</v>
      </c>
      <c r="D5">
        <v>0.17</v>
      </c>
      <c r="E5">
        <v>4.3999999999999997E-2</v>
      </c>
      <c r="F5">
        <v>3.8530000000000002</v>
      </c>
      <c r="G5">
        <v>0</v>
      </c>
      <c r="J5">
        <v>45.945</v>
      </c>
      <c r="K5">
        <v>1</v>
      </c>
      <c r="L5">
        <v>0</v>
      </c>
      <c r="M5" t="s">
        <v>12</v>
      </c>
      <c r="N5" t="s">
        <v>12</v>
      </c>
      <c r="O5" t="s">
        <v>19</v>
      </c>
    </row>
    <row r="6" spans="1:17" x14ac:dyDescent="0.2">
      <c r="A6" t="s">
        <v>139</v>
      </c>
      <c r="B6" t="s">
        <v>140</v>
      </c>
      <c r="C6" t="s">
        <v>63</v>
      </c>
      <c r="D6">
        <v>2.016</v>
      </c>
      <c r="E6">
        <v>0.17100000000000001</v>
      </c>
      <c r="F6">
        <v>11.776</v>
      </c>
      <c r="G6">
        <v>0</v>
      </c>
      <c r="H6">
        <v>1.681</v>
      </c>
      <c r="I6">
        <v>2.3519999999999999</v>
      </c>
      <c r="J6">
        <v>210.40600000000001</v>
      </c>
      <c r="K6">
        <v>1</v>
      </c>
      <c r="L6">
        <v>0</v>
      </c>
      <c r="M6" t="s">
        <v>12</v>
      </c>
      <c r="N6" t="s">
        <v>12</v>
      </c>
      <c r="O6" t="s">
        <v>19</v>
      </c>
    </row>
    <row r="7" spans="1:17" hidden="1" x14ac:dyDescent="0.2">
      <c r="A7" t="s">
        <v>139</v>
      </c>
      <c r="B7" t="s">
        <v>141</v>
      </c>
      <c r="C7" t="s">
        <v>63</v>
      </c>
      <c r="D7">
        <v>1</v>
      </c>
      <c r="E7">
        <v>0</v>
      </c>
      <c r="F7">
        <v>999</v>
      </c>
      <c r="G7">
        <v>999</v>
      </c>
      <c r="H7">
        <v>1</v>
      </c>
      <c r="I7">
        <v>1</v>
      </c>
      <c r="J7">
        <v>210.40600000000001</v>
      </c>
      <c r="K7">
        <v>1</v>
      </c>
      <c r="L7">
        <v>0</v>
      </c>
      <c r="M7" t="s">
        <v>12</v>
      </c>
      <c r="N7" t="s">
        <v>12</v>
      </c>
      <c r="O7" t="s">
        <v>19</v>
      </c>
    </row>
    <row r="8" spans="1:17" x14ac:dyDescent="0.2">
      <c r="A8" t="s">
        <v>139</v>
      </c>
      <c r="B8" t="s">
        <v>140</v>
      </c>
      <c r="C8" t="s">
        <v>65</v>
      </c>
      <c r="D8">
        <v>0.60799999999999998</v>
      </c>
      <c r="E8">
        <v>0.13500000000000001</v>
      </c>
      <c r="F8">
        <v>4.49</v>
      </c>
      <c r="G8">
        <v>0</v>
      </c>
      <c r="H8">
        <v>0.34300000000000003</v>
      </c>
      <c r="I8">
        <v>0.873</v>
      </c>
      <c r="J8">
        <v>210.40600000000001</v>
      </c>
      <c r="K8">
        <v>1</v>
      </c>
      <c r="L8">
        <v>0</v>
      </c>
      <c r="M8" t="s">
        <v>12</v>
      </c>
      <c r="N8" t="s">
        <v>12</v>
      </c>
      <c r="O8" t="s">
        <v>19</v>
      </c>
    </row>
    <row r="9" spans="1:17" hidden="1" x14ac:dyDescent="0.2">
      <c r="A9" t="s">
        <v>139</v>
      </c>
      <c r="B9" t="s">
        <v>141</v>
      </c>
      <c r="C9" t="s">
        <v>65</v>
      </c>
      <c r="D9">
        <v>1</v>
      </c>
      <c r="E9">
        <v>0</v>
      </c>
      <c r="F9">
        <v>999</v>
      </c>
      <c r="G9">
        <v>999</v>
      </c>
      <c r="H9">
        <v>1</v>
      </c>
      <c r="I9">
        <v>1</v>
      </c>
      <c r="J9">
        <v>210.40600000000001</v>
      </c>
      <c r="K9">
        <v>1</v>
      </c>
      <c r="L9">
        <v>0</v>
      </c>
      <c r="M9" t="s">
        <v>12</v>
      </c>
      <c r="N9" t="s">
        <v>12</v>
      </c>
      <c r="O9" t="s">
        <v>19</v>
      </c>
    </row>
    <row r="10" spans="1:17" hidden="1" x14ac:dyDescent="0.2">
      <c r="A10" t="s">
        <v>142</v>
      </c>
      <c r="B10" t="s">
        <v>137</v>
      </c>
      <c r="C10" t="s">
        <v>63</v>
      </c>
      <c r="D10">
        <v>0.94</v>
      </c>
      <c r="E10">
        <v>1.7999999999999999E-2</v>
      </c>
      <c r="F10">
        <v>51.183</v>
      </c>
      <c r="G10">
        <v>0</v>
      </c>
      <c r="J10">
        <v>2.0009999999999999</v>
      </c>
      <c r="K10">
        <v>1</v>
      </c>
      <c r="L10">
        <v>0.15720000000000001</v>
      </c>
      <c r="M10" t="s">
        <v>12</v>
      </c>
      <c r="N10" t="s">
        <v>12</v>
      </c>
    </row>
    <row r="11" spans="1:17" hidden="1" x14ac:dyDescent="0.2">
      <c r="A11" t="s">
        <v>142</v>
      </c>
      <c r="B11" t="s">
        <v>138</v>
      </c>
      <c r="C11" t="s">
        <v>63</v>
      </c>
      <c r="D11">
        <v>0.06</v>
      </c>
      <c r="E11">
        <v>1.7999999999999999E-2</v>
      </c>
      <c r="F11">
        <v>3.27</v>
      </c>
      <c r="G11">
        <v>1E-3</v>
      </c>
      <c r="J11">
        <v>2.0009999999999999</v>
      </c>
      <c r="K11">
        <v>1</v>
      </c>
      <c r="L11">
        <v>0.15720000000000001</v>
      </c>
      <c r="M11" t="s">
        <v>12</v>
      </c>
      <c r="N11" t="s">
        <v>12</v>
      </c>
    </row>
    <row r="12" spans="1:17" hidden="1" x14ac:dyDescent="0.2">
      <c r="A12" t="s">
        <v>142</v>
      </c>
      <c r="B12" t="s">
        <v>137</v>
      </c>
      <c r="C12" t="s">
        <v>65</v>
      </c>
      <c r="D12">
        <v>0.98499999999999999</v>
      </c>
      <c r="E12">
        <v>1.2999999999999999E-2</v>
      </c>
      <c r="F12">
        <v>75.567999999999998</v>
      </c>
      <c r="G12">
        <v>0</v>
      </c>
      <c r="J12">
        <v>2.0009999999999999</v>
      </c>
      <c r="K12">
        <v>1</v>
      </c>
      <c r="L12">
        <v>0.15720000000000001</v>
      </c>
      <c r="M12" t="s">
        <v>12</v>
      </c>
      <c r="N12" t="s">
        <v>12</v>
      </c>
    </row>
    <row r="13" spans="1:17" hidden="1" x14ac:dyDescent="0.2">
      <c r="A13" t="s">
        <v>142</v>
      </c>
      <c r="B13" t="s">
        <v>138</v>
      </c>
      <c r="C13" t="s">
        <v>65</v>
      </c>
      <c r="D13">
        <v>1.4999999999999999E-2</v>
      </c>
      <c r="E13">
        <v>1.2999999999999999E-2</v>
      </c>
      <c r="F13">
        <v>1.135</v>
      </c>
      <c r="G13">
        <v>0.25600000000000001</v>
      </c>
      <c r="J13">
        <v>2.0009999999999999</v>
      </c>
      <c r="K13">
        <v>1</v>
      </c>
      <c r="L13">
        <v>0.15720000000000001</v>
      </c>
      <c r="M13" t="s">
        <v>12</v>
      </c>
      <c r="N13" t="s">
        <v>12</v>
      </c>
    </row>
    <row r="14" spans="1:17" x14ac:dyDescent="0.2">
      <c r="A14" t="s">
        <v>143</v>
      </c>
      <c r="B14" t="s">
        <v>137</v>
      </c>
      <c r="C14" t="s">
        <v>63</v>
      </c>
      <c r="D14">
        <v>0.44800000000000001</v>
      </c>
      <c r="E14">
        <v>0.04</v>
      </c>
      <c r="F14">
        <v>11.084</v>
      </c>
      <c r="G14">
        <v>0</v>
      </c>
      <c r="J14">
        <v>30.25</v>
      </c>
      <c r="K14">
        <v>1</v>
      </c>
      <c r="L14">
        <v>0</v>
      </c>
      <c r="M14" t="s">
        <v>12</v>
      </c>
      <c r="N14" t="s">
        <v>12</v>
      </c>
      <c r="O14" t="s">
        <v>19</v>
      </c>
    </row>
    <row r="15" spans="1:17" x14ac:dyDescent="0.2">
      <c r="A15" t="s">
        <v>143</v>
      </c>
      <c r="B15" t="s">
        <v>138</v>
      </c>
      <c r="C15" t="s">
        <v>63</v>
      </c>
      <c r="D15">
        <v>0.55200000000000005</v>
      </c>
      <c r="E15">
        <v>0.04</v>
      </c>
      <c r="F15">
        <v>13.66</v>
      </c>
      <c r="G15">
        <v>0</v>
      </c>
      <c r="J15">
        <v>30.25</v>
      </c>
      <c r="K15">
        <v>1</v>
      </c>
      <c r="L15">
        <v>0</v>
      </c>
      <c r="M15" t="s">
        <v>12</v>
      </c>
      <c r="N15" t="s">
        <v>12</v>
      </c>
      <c r="O15" t="s">
        <v>19</v>
      </c>
    </row>
    <row r="16" spans="1:17" x14ac:dyDescent="0.2">
      <c r="A16" t="s">
        <v>143</v>
      </c>
      <c r="B16" t="s">
        <v>137</v>
      </c>
      <c r="C16" t="s">
        <v>65</v>
      </c>
      <c r="D16">
        <v>0.875</v>
      </c>
      <c r="E16">
        <v>3.5000000000000003E-2</v>
      </c>
      <c r="F16">
        <v>24.692</v>
      </c>
      <c r="G16">
        <v>0</v>
      </c>
      <c r="J16">
        <v>30.25</v>
      </c>
      <c r="K16">
        <v>1</v>
      </c>
      <c r="L16">
        <v>0</v>
      </c>
      <c r="M16" t="s">
        <v>12</v>
      </c>
      <c r="N16" t="s">
        <v>12</v>
      </c>
      <c r="O16" t="s">
        <v>19</v>
      </c>
    </row>
    <row r="17" spans="1:15" x14ac:dyDescent="0.2">
      <c r="A17" t="s">
        <v>143</v>
      </c>
      <c r="B17" t="s">
        <v>138</v>
      </c>
      <c r="C17" t="s">
        <v>65</v>
      </c>
      <c r="D17">
        <v>0.125</v>
      </c>
      <c r="E17">
        <v>3.5000000000000003E-2</v>
      </c>
      <c r="F17">
        <v>3.5329999999999999</v>
      </c>
      <c r="G17">
        <v>0</v>
      </c>
      <c r="J17">
        <v>30.25</v>
      </c>
      <c r="K17">
        <v>1</v>
      </c>
      <c r="L17">
        <v>0</v>
      </c>
      <c r="M17" t="s">
        <v>12</v>
      </c>
      <c r="N17" t="s">
        <v>12</v>
      </c>
      <c r="O17" t="s">
        <v>19</v>
      </c>
    </row>
    <row r="18" spans="1:15" x14ac:dyDescent="0.2">
      <c r="A18" t="s">
        <v>144</v>
      </c>
      <c r="B18" t="s">
        <v>137</v>
      </c>
      <c r="C18" t="s">
        <v>63</v>
      </c>
      <c r="D18">
        <v>0.112</v>
      </c>
      <c r="E18">
        <v>3.3000000000000002E-2</v>
      </c>
      <c r="F18">
        <v>3.407</v>
      </c>
      <c r="G18">
        <v>1E-3</v>
      </c>
      <c r="J18">
        <v>19.04</v>
      </c>
      <c r="K18">
        <v>1</v>
      </c>
      <c r="L18">
        <v>0</v>
      </c>
      <c r="M18" t="s">
        <v>12</v>
      </c>
      <c r="N18" t="s">
        <v>12</v>
      </c>
      <c r="O18" t="s">
        <v>19</v>
      </c>
    </row>
    <row r="19" spans="1:15" x14ac:dyDescent="0.2">
      <c r="A19" t="s">
        <v>144</v>
      </c>
      <c r="B19" t="s">
        <v>138</v>
      </c>
      <c r="C19" t="s">
        <v>63</v>
      </c>
      <c r="D19">
        <v>0.88800000000000001</v>
      </c>
      <c r="E19">
        <v>3.3000000000000002E-2</v>
      </c>
      <c r="F19">
        <v>27.097000000000001</v>
      </c>
      <c r="G19">
        <v>0</v>
      </c>
      <c r="J19">
        <v>19.04</v>
      </c>
      <c r="K19">
        <v>1</v>
      </c>
      <c r="L19">
        <v>0</v>
      </c>
      <c r="M19" t="s">
        <v>12</v>
      </c>
      <c r="N19" t="s">
        <v>12</v>
      </c>
      <c r="O19" t="s">
        <v>19</v>
      </c>
    </row>
    <row r="20" spans="1:15" x14ac:dyDescent="0.2">
      <c r="A20" t="s">
        <v>144</v>
      </c>
      <c r="B20" t="s">
        <v>137</v>
      </c>
      <c r="C20" t="s">
        <v>65</v>
      </c>
      <c r="D20">
        <v>0.44600000000000001</v>
      </c>
      <c r="E20">
        <v>0.05</v>
      </c>
      <c r="F20">
        <v>8.9280000000000008</v>
      </c>
      <c r="G20">
        <v>0</v>
      </c>
      <c r="J20">
        <v>19.04</v>
      </c>
      <c r="K20">
        <v>1</v>
      </c>
      <c r="L20">
        <v>0</v>
      </c>
      <c r="M20" t="s">
        <v>12</v>
      </c>
      <c r="N20" t="s">
        <v>12</v>
      </c>
      <c r="O20" t="s">
        <v>19</v>
      </c>
    </row>
    <row r="21" spans="1:15" x14ac:dyDescent="0.2">
      <c r="A21" t="s">
        <v>144</v>
      </c>
      <c r="B21" t="s">
        <v>138</v>
      </c>
      <c r="C21" t="s">
        <v>65</v>
      </c>
      <c r="D21">
        <v>0.55400000000000005</v>
      </c>
      <c r="E21">
        <v>0.05</v>
      </c>
      <c r="F21">
        <v>11.106999999999999</v>
      </c>
      <c r="G21">
        <v>0</v>
      </c>
      <c r="J21">
        <v>19.04</v>
      </c>
      <c r="K21">
        <v>1</v>
      </c>
      <c r="L21">
        <v>0</v>
      </c>
      <c r="M21" t="s">
        <v>12</v>
      </c>
      <c r="N21" t="s">
        <v>12</v>
      </c>
      <c r="O21" t="s">
        <v>19</v>
      </c>
    </row>
    <row r="22" spans="1:15" hidden="1" x14ac:dyDescent="0.2">
      <c r="A22" t="s">
        <v>145</v>
      </c>
      <c r="B22" t="s">
        <v>140</v>
      </c>
      <c r="C22" t="s">
        <v>63</v>
      </c>
      <c r="D22">
        <v>2.5590000000000002</v>
      </c>
      <c r="E22">
        <v>1.175</v>
      </c>
      <c r="F22">
        <v>2.1789999999999998</v>
      </c>
      <c r="G22">
        <v>2.9000000000000001E-2</v>
      </c>
      <c r="H22">
        <v>0.25700000000000001</v>
      </c>
      <c r="I22">
        <v>4.8620000000000001</v>
      </c>
      <c r="J22">
        <v>1.212</v>
      </c>
      <c r="K22">
        <v>1</v>
      </c>
      <c r="L22">
        <v>0.27100000000000002</v>
      </c>
      <c r="M22" t="s">
        <v>12</v>
      </c>
      <c r="N22" t="s">
        <v>12</v>
      </c>
    </row>
    <row r="23" spans="1:15" hidden="1" x14ac:dyDescent="0.2">
      <c r="A23" t="s">
        <v>145</v>
      </c>
      <c r="B23" t="s">
        <v>141</v>
      </c>
      <c r="C23" t="s">
        <v>63</v>
      </c>
      <c r="D23">
        <v>1</v>
      </c>
      <c r="E23">
        <v>0</v>
      </c>
      <c r="F23">
        <v>999</v>
      </c>
      <c r="G23">
        <v>999</v>
      </c>
      <c r="H23">
        <v>1</v>
      </c>
      <c r="I23">
        <v>1</v>
      </c>
      <c r="J23">
        <v>1.212</v>
      </c>
      <c r="K23">
        <v>1</v>
      </c>
      <c r="L23">
        <v>0.27100000000000002</v>
      </c>
      <c r="M23" t="s">
        <v>12</v>
      </c>
      <c r="N23" t="s">
        <v>12</v>
      </c>
    </row>
    <row r="24" spans="1:15" hidden="1" x14ac:dyDescent="0.2">
      <c r="A24" t="s">
        <v>145</v>
      </c>
      <c r="B24" t="s">
        <v>140</v>
      </c>
      <c r="C24" t="s">
        <v>65</v>
      </c>
      <c r="D24">
        <v>1.47</v>
      </c>
      <c r="E24">
        <v>0.28799999999999998</v>
      </c>
      <c r="F24">
        <v>5.1070000000000002</v>
      </c>
      <c r="G24">
        <v>0</v>
      </c>
      <c r="H24">
        <v>0.90600000000000003</v>
      </c>
      <c r="I24">
        <v>2.0350000000000001</v>
      </c>
      <c r="J24">
        <v>1.212</v>
      </c>
      <c r="K24">
        <v>1</v>
      </c>
      <c r="L24">
        <v>0.27100000000000002</v>
      </c>
      <c r="M24" t="s">
        <v>12</v>
      </c>
      <c r="N24" t="s">
        <v>12</v>
      </c>
    </row>
    <row r="25" spans="1:15" hidden="1" x14ac:dyDescent="0.2">
      <c r="A25" t="s">
        <v>145</v>
      </c>
      <c r="B25" t="s">
        <v>141</v>
      </c>
      <c r="C25" t="s">
        <v>65</v>
      </c>
      <c r="D25">
        <v>1</v>
      </c>
      <c r="E25">
        <v>0</v>
      </c>
      <c r="F25">
        <v>999</v>
      </c>
      <c r="G25">
        <v>999</v>
      </c>
      <c r="H25">
        <v>1</v>
      </c>
      <c r="I25">
        <v>1</v>
      </c>
      <c r="J25">
        <v>1.212</v>
      </c>
      <c r="K25">
        <v>1</v>
      </c>
      <c r="L25">
        <v>0.27100000000000002</v>
      </c>
      <c r="M25" t="s">
        <v>12</v>
      </c>
      <c r="N25" t="s">
        <v>12</v>
      </c>
    </row>
    <row r="26" spans="1:15" hidden="1" x14ac:dyDescent="0.2">
      <c r="A26" t="s">
        <v>146</v>
      </c>
      <c r="B26" t="s">
        <v>137</v>
      </c>
      <c r="C26" t="s">
        <v>63</v>
      </c>
      <c r="D26">
        <v>0.85199999999999998</v>
      </c>
      <c r="E26">
        <v>2.9000000000000001E-2</v>
      </c>
      <c r="F26">
        <v>29.489000000000001</v>
      </c>
      <c r="G26">
        <v>0</v>
      </c>
      <c r="J26">
        <v>0.64900000000000002</v>
      </c>
      <c r="K26">
        <v>1</v>
      </c>
      <c r="L26">
        <v>0.42049999999999998</v>
      </c>
      <c r="M26" t="s">
        <v>12</v>
      </c>
      <c r="N26" t="s">
        <v>12</v>
      </c>
    </row>
    <row r="27" spans="1:15" hidden="1" x14ac:dyDescent="0.2">
      <c r="A27" t="s">
        <v>146</v>
      </c>
      <c r="B27" t="s">
        <v>138</v>
      </c>
      <c r="C27" t="s">
        <v>63</v>
      </c>
      <c r="D27">
        <v>0.14799999999999999</v>
      </c>
      <c r="E27">
        <v>2.9000000000000001E-2</v>
      </c>
      <c r="F27">
        <v>5.1070000000000002</v>
      </c>
      <c r="G27">
        <v>0</v>
      </c>
      <c r="J27">
        <v>0.64900000000000002</v>
      </c>
      <c r="K27">
        <v>1</v>
      </c>
      <c r="L27">
        <v>0.42049999999999998</v>
      </c>
      <c r="M27" t="s">
        <v>12</v>
      </c>
      <c r="N27" t="s">
        <v>12</v>
      </c>
    </row>
    <row r="28" spans="1:15" hidden="1" x14ac:dyDescent="0.2">
      <c r="A28" t="s">
        <v>146</v>
      </c>
      <c r="B28" t="s">
        <v>137</v>
      </c>
      <c r="C28" t="s">
        <v>65</v>
      </c>
      <c r="D28">
        <v>0.81200000000000006</v>
      </c>
      <c r="E28">
        <v>3.5999999999999997E-2</v>
      </c>
      <c r="F28">
        <v>22.61</v>
      </c>
      <c r="G28">
        <v>0</v>
      </c>
      <c r="J28">
        <v>0.64900000000000002</v>
      </c>
      <c r="K28">
        <v>1</v>
      </c>
      <c r="L28">
        <v>0.42049999999999998</v>
      </c>
      <c r="M28" t="s">
        <v>12</v>
      </c>
      <c r="N28" t="s">
        <v>12</v>
      </c>
    </row>
    <row r="29" spans="1:15" hidden="1" x14ac:dyDescent="0.2">
      <c r="A29" t="s">
        <v>146</v>
      </c>
      <c r="B29" t="s">
        <v>138</v>
      </c>
      <c r="C29" t="s">
        <v>65</v>
      </c>
      <c r="D29">
        <v>0.188</v>
      </c>
      <c r="E29">
        <v>3.5999999999999997E-2</v>
      </c>
      <c r="F29">
        <v>5.2510000000000003</v>
      </c>
      <c r="G29">
        <v>0</v>
      </c>
      <c r="J29">
        <v>0.64900000000000002</v>
      </c>
      <c r="K29">
        <v>1</v>
      </c>
      <c r="L29">
        <v>0.42049999999999998</v>
      </c>
      <c r="M29" t="s">
        <v>12</v>
      </c>
      <c r="N29" t="s">
        <v>12</v>
      </c>
    </row>
    <row r="30" spans="1:15" hidden="1" x14ac:dyDescent="0.2">
      <c r="A30" t="s">
        <v>147</v>
      </c>
      <c r="B30" t="s">
        <v>137</v>
      </c>
      <c r="C30" t="s">
        <v>63</v>
      </c>
      <c r="D30">
        <v>0.23599999999999999</v>
      </c>
      <c r="E30">
        <v>3.5000000000000003E-2</v>
      </c>
      <c r="F30">
        <v>6.7089999999999996</v>
      </c>
      <c r="G30">
        <v>0</v>
      </c>
      <c r="J30">
        <v>7.141</v>
      </c>
      <c r="K30">
        <v>1</v>
      </c>
      <c r="L30">
        <v>7.4999999999999997E-3</v>
      </c>
      <c r="M30" t="s">
        <v>12</v>
      </c>
      <c r="N30" t="s">
        <v>12</v>
      </c>
      <c r="O30" t="s">
        <v>21</v>
      </c>
    </row>
    <row r="31" spans="1:15" hidden="1" x14ac:dyDescent="0.2">
      <c r="A31" t="s">
        <v>147</v>
      </c>
      <c r="B31" t="s">
        <v>138</v>
      </c>
      <c r="C31" t="s">
        <v>63</v>
      </c>
      <c r="D31">
        <v>0.76400000000000001</v>
      </c>
      <c r="E31">
        <v>3.5000000000000003E-2</v>
      </c>
      <c r="F31">
        <v>21.776</v>
      </c>
      <c r="G31">
        <v>0</v>
      </c>
      <c r="J31">
        <v>7.141</v>
      </c>
      <c r="K31">
        <v>1</v>
      </c>
      <c r="L31">
        <v>7.4999999999999997E-3</v>
      </c>
      <c r="M31" t="s">
        <v>12</v>
      </c>
      <c r="N31" t="s">
        <v>12</v>
      </c>
      <c r="O31" t="s">
        <v>21</v>
      </c>
    </row>
    <row r="32" spans="1:15" hidden="1" x14ac:dyDescent="0.2">
      <c r="A32" t="s">
        <v>147</v>
      </c>
      <c r="B32" t="s">
        <v>137</v>
      </c>
      <c r="C32" t="s">
        <v>65</v>
      </c>
      <c r="D32">
        <v>0.40699999999999997</v>
      </c>
      <c r="E32">
        <v>4.4999999999999998E-2</v>
      </c>
      <c r="F32">
        <v>9.0090000000000003</v>
      </c>
      <c r="G32">
        <v>0</v>
      </c>
      <c r="J32">
        <v>7.141</v>
      </c>
      <c r="K32">
        <v>1</v>
      </c>
      <c r="L32">
        <v>7.4999999999999997E-3</v>
      </c>
      <c r="M32" t="s">
        <v>12</v>
      </c>
      <c r="N32" t="s">
        <v>12</v>
      </c>
      <c r="O32" t="s">
        <v>21</v>
      </c>
    </row>
    <row r="33" spans="1:15" hidden="1" x14ac:dyDescent="0.2">
      <c r="A33" t="s">
        <v>147</v>
      </c>
      <c r="B33" t="s">
        <v>138</v>
      </c>
      <c r="C33" t="s">
        <v>65</v>
      </c>
      <c r="D33">
        <v>0.59299999999999997</v>
      </c>
      <c r="E33">
        <v>4.4999999999999998E-2</v>
      </c>
      <c r="F33">
        <v>13.135</v>
      </c>
      <c r="G33">
        <v>0</v>
      </c>
      <c r="J33">
        <v>7.141</v>
      </c>
      <c r="K33">
        <v>1</v>
      </c>
      <c r="L33">
        <v>7.4999999999999997E-3</v>
      </c>
      <c r="M33" t="s">
        <v>12</v>
      </c>
      <c r="N33" t="s">
        <v>12</v>
      </c>
      <c r="O33" t="s">
        <v>21</v>
      </c>
    </row>
    <row r="34" spans="1:15" x14ac:dyDescent="0.2">
      <c r="A34" t="s">
        <v>112</v>
      </c>
      <c r="B34" t="s">
        <v>140</v>
      </c>
      <c r="C34" t="s">
        <v>63</v>
      </c>
      <c r="D34">
        <v>1.2210000000000001</v>
      </c>
      <c r="E34">
        <v>7.5999999999999998E-2</v>
      </c>
      <c r="F34">
        <v>16.021999999999998</v>
      </c>
      <c r="G34">
        <v>0</v>
      </c>
      <c r="H34">
        <v>1.0720000000000001</v>
      </c>
      <c r="I34">
        <v>1.371</v>
      </c>
      <c r="J34">
        <v>128.74</v>
      </c>
      <c r="K34">
        <v>1</v>
      </c>
      <c r="L34">
        <v>0</v>
      </c>
      <c r="M34" t="s">
        <v>12</v>
      </c>
      <c r="N34" t="s">
        <v>12</v>
      </c>
      <c r="O34" t="s">
        <v>19</v>
      </c>
    </row>
    <row r="35" spans="1:15" hidden="1" x14ac:dyDescent="0.2">
      <c r="A35" t="s">
        <v>112</v>
      </c>
      <c r="B35" t="s">
        <v>141</v>
      </c>
      <c r="C35" t="s">
        <v>63</v>
      </c>
      <c r="D35">
        <v>1</v>
      </c>
      <c r="E35">
        <v>0</v>
      </c>
      <c r="F35">
        <v>999</v>
      </c>
      <c r="G35">
        <v>999</v>
      </c>
      <c r="H35">
        <v>1</v>
      </c>
      <c r="I35">
        <v>1</v>
      </c>
      <c r="J35">
        <v>128.74</v>
      </c>
      <c r="K35">
        <v>1</v>
      </c>
      <c r="L35">
        <v>0</v>
      </c>
      <c r="M35" t="s">
        <v>12</v>
      </c>
      <c r="N35" t="s">
        <v>12</v>
      </c>
      <c r="O35" t="s">
        <v>19</v>
      </c>
    </row>
    <row r="36" spans="1:15" x14ac:dyDescent="0.2">
      <c r="A36" t="s">
        <v>112</v>
      </c>
      <c r="B36" t="s">
        <v>140</v>
      </c>
      <c r="C36" t="s">
        <v>65</v>
      </c>
      <c r="D36">
        <v>2.218</v>
      </c>
      <c r="E36">
        <v>0.14699999999999999</v>
      </c>
      <c r="F36">
        <v>15.125999999999999</v>
      </c>
      <c r="G36">
        <v>0</v>
      </c>
      <c r="H36">
        <v>1.93</v>
      </c>
      <c r="I36">
        <v>2.5049999999999999</v>
      </c>
      <c r="J36">
        <v>128.74</v>
      </c>
      <c r="K36">
        <v>1</v>
      </c>
      <c r="L36">
        <v>0</v>
      </c>
      <c r="M36" t="s">
        <v>12</v>
      </c>
      <c r="N36" t="s">
        <v>12</v>
      </c>
      <c r="O36" t="s">
        <v>19</v>
      </c>
    </row>
    <row r="37" spans="1:15" hidden="1" x14ac:dyDescent="0.2">
      <c r="A37" t="s">
        <v>112</v>
      </c>
      <c r="B37" t="s">
        <v>141</v>
      </c>
      <c r="C37" t="s">
        <v>65</v>
      </c>
      <c r="D37">
        <v>1</v>
      </c>
      <c r="E37">
        <v>0</v>
      </c>
      <c r="F37">
        <v>999</v>
      </c>
      <c r="G37">
        <v>999</v>
      </c>
      <c r="H37">
        <v>1</v>
      </c>
      <c r="I37">
        <v>1</v>
      </c>
      <c r="J37">
        <v>128.74</v>
      </c>
      <c r="K37">
        <v>1</v>
      </c>
      <c r="L37">
        <v>0</v>
      </c>
      <c r="M37" t="s">
        <v>12</v>
      </c>
      <c r="N37" t="s">
        <v>12</v>
      </c>
      <c r="O37" t="s">
        <v>19</v>
      </c>
    </row>
    <row r="38" spans="1:15" x14ac:dyDescent="0.2">
      <c r="A38" t="s">
        <v>121</v>
      </c>
      <c r="B38" t="s">
        <v>140</v>
      </c>
      <c r="C38" t="s">
        <v>63</v>
      </c>
      <c r="D38">
        <v>0.72699999999999998</v>
      </c>
      <c r="E38">
        <v>8.5999999999999993E-2</v>
      </c>
      <c r="F38">
        <v>8.4440000000000008</v>
      </c>
      <c r="G38">
        <v>0</v>
      </c>
      <c r="H38">
        <v>0.55800000000000005</v>
      </c>
      <c r="I38">
        <v>0.89500000000000002</v>
      </c>
      <c r="J38">
        <v>137.04599999999999</v>
      </c>
      <c r="K38">
        <v>1</v>
      </c>
      <c r="L38">
        <v>0</v>
      </c>
      <c r="M38" t="s">
        <v>12</v>
      </c>
      <c r="N38" t="s">
        <v>12</v>
      </c>
      <c r="O38" t="s">
        <v>19</v>
      </c>
    </row>
    <row r="39" spans="1:15" hidden="1" x14ac:dyDescent="0.2">
      <c r="A39" t="s">
        <v>121</v>
      </c>
      <c r="B39" t="s">
        <v>141</v>
      </c>
      <c r="C39" t="s">
        <v>63</v>
      </c>
      <c r="D39">
        <v>1</v>
      </c>
      <c r="E39">
        <v>0</v>
      </c>
      <c r="F39">
        <v>999</v>
      </c>
      <c r="G39">
        <v>999</v>
      </c>
      <c r="H39">
        <v>1</v>
      </c>
      <c r="I39">
        <v>1</v>
      </c>
      <c r="J39">
        <v>137.04599999999999</v>
      </c>
      <c r="K39">
        <v>1</v>
      </c>
      <c r="L39">
        <v>0</v>
      </c>
      <c r="M39" t="s">
        <v>12</v>
      </c>
      <c r="N39" t="s">
        <v>12</v>
      </c>
      <c r="O39" t="s">
        <v>19</v>
      </c>
    </row>
    <row r="40" spans="1:15" x14ac:dyDescent="0.2">
      <c r="A40" t="s">
        <v>121</v>
      </c>
      <c r="B40" t="s">
        <v>140</v>
      </c>
      <c r="C40" t="s">
        <v>65</v>
      </c>
      <c r="D40">
        <v>1.407</v>
      </c>
      <c r="E40">
        <v>8.4000000000000005E-2</v>
      </c>
      <c r="F40">
        <v>16.824000000000002</v>
      </c>
      <c r="G40">
        <v>0</v>
      </c>
      <c r="H40">
        <v>1.2430000000000001</v>
      </c>
      <c r="I40">
        <v>1.571</v>
      </c>
      <c r="J40">
        <v>137.04599999999999</v>
      </c>
      <c r="K40">
        <v>1</v>
      </c>
      <c r="L40">
        <v>0</v>
      </c>
      <c r="M40" t="s">
        <v>12</v>
      </c>
      <c r="N40" t="s">
        <v>12</v>
      </c>
      <c r="O40" t="s">
        <v>19</v>
      </c>
    </row>
    <row r="41" spans="1:15" hidden="1" x14ac:dyDescent="0.2">
      <c r="A41" t="s">
        <v>121</v>
      </c>
      <c r="B41" t="s">
        <v>141</v>
      </c>
      <c r="C41" t="s">
        <v>65</v>
      </c>
      <c r="D41">
        <v>1</v>
      </c>
      <c r="E41">
        <v>0</v>
      </c>
      <c r="F41">
        <v>999</v>
      </c>
      <c r="G41">
        <v>999</v>
      </c>
      <c r="H41">
        <v>1</v>
      </c>
      <c r="I41">
        <v>1</v>
      </c>
      <c r="J41">
        <v>137.04599999999999</v>
      </c>
      <c r="K41">
        <v>1</v>
      </c>
      <c r="L41">
        <v>0</v>
      </c>
      <c r="M41" t="s">
        <v>12</v>
      </c>
      <c r="N41" t="s">
        <v>12</v>
      </c>
      <c r="O41" t="s">
        <v>19</v>
      </c>
    </row>
  </sheetData>
  <autoFilter ref="A1:Q41" xr:uid="{00000000-0001-0000-0200-000000000000}">
    <filterColumn colId="6">
      <customFilters>
        <customFilter operator="lessThan" val="0.05"/>
      </customFilters>
    </filterColumn>
    <filterColumn colId="11">
      <customFilters>
        <customFilter operator="lessThan" val="5.0000000000000001E-3"/>
      </custom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R3STEP</vt:lpstr>
      <vt:lpstr>TVCreg</vt:lpstr>
      <vt:lpstr>D3STEP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olivierpercie</dc:creator>
  <cp:lastModifiedBy>Microsoft Office User</cp:lastModifiedBy>
  <dcterms:created xsi:type="dcterms:W3CDTF">2023-02-15T21:28:43Z</dcterms:created>
  <dcterms:modified xsi:type="dcterms:W3CDTF">2023-02-16T03:43:48Z</dcterms:modified>
</cp:coreProperties>
</file>